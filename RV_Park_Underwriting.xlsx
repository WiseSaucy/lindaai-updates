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Underwriting" sheetId="2" state="visible" r:id="rId2"/>
    <sheet name="Pro Forma &amp; 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sz val="11"/>
    </font>
    <font>
      <name val="Calibri"/>
      <b val="1"/>
      <color rgb="001F4E78"/>
      <sz val="11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sz val="11"/>
    </font>
    <font>
      <b val="1"/>
      <color rgb="001F4E78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0" fontId="6" fillId="0" borderId="0" pivotButton="0" quotePrefix="0" xfId="0"/>
    <xf numFmtId="164" fontId="6" fillId="5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164" fontId="6" fillId="6" borderId="0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6" fillId="6" borderId="0" applyAlignment="1" pivotButton="0" quotePrefix="0" xfId="0">
      <alignment horizontal="right"/>
    </xf>
    <xf numFmtId="166" fontId="6" fillId="6" borderId="0" applyAlignment="1" pivotButton="0" quotePrefix="0" xfId="0">
      <alignment horizontal="right"/>
    </xf>
    <xf numFmtId="166" fontId="2" fillId="0" borderId="0" applyAlignment="1" pivotButton="0" quotePrefix="0" xfId="0">
      <alignment horizontal="right"/>
    </xf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164" fontId="2" fillId="5" borderId="0" applyAlignment="1" pivotButton="0" quotePrefix="0" xfId="0">
      <alignment horizontal="right"/>
    </xf>
    <xf numFmtId="0" fontId="5" fillId="4" borderId="0" applyAlignment="1" pivotButton="0" quotePrefix="0" xfId="0">
      <alignment horizontal="left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" t="inlineStr">
        <is>
          <t>RV PARK UNDERWRITING — HOW TO USE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 deal screening model for buying RV parks. Plug in a property's numbers and it tells you the cap rate,</t>
        </is>
      </c>
    </row>
    <row r="5">
      <c r="A5" s="2" t="inlineStr">
        <is>
          <t>cash flow, cash-on-cash return, DSCR, and a 5-10 year IRR so you can decide if a deal works.</t>
        </is>
      </c>
    </row>
    <row r="6">
      <c r="A6" s="2" t="inlineStr"/>
    </row>
    <row r="7">
      <c r="A7" s="3" t="inlineStr">
        <is>
          <t>HOW TO USE IT</t>
        </is>
      </c>
    </row>
    <row r="8">
      <c r="A8" s="2" t="inlineStr">
        <is>
          <t>1. Go to the 'Underwriting' tab.</t>
        </is>
      </c>
    </row>
    <row r="9">
      <c r="A9" s="2" t="inlineStr">
        <is>
          <t>2. Fill in every YELLOW cell with the property's real numbers (from the seller's P&amp;L / rent roll).</t>
        </is>
      </c>
    </row>
    <row r="10">
      <c r="A10" s="2" t="inlineStr">
        <is>
          <t>3. Everything that isn't yellow calculates automatically — do not type over formulas.</t>
        </is>
      </c>
    </row>
    <row r="11">
      <c r="A11" s="2" t="inlineStr">
        <is>
          <t>4. Check the green 'KEY RETURN METRICS' box for the headline numbers.</t>
        </is>
      </c>
    </row>
    <row r="12">
      <c r="A12" s="2" t="inlineStr">
        <is>
          <t>5. Open the 'Pro Forma &amp; Returns' tab for the multi-year projection and IRR.</t>
        </is>
      </c>
    </row>
    <row r="13">
      <c r="A13" s="2" t="inlineStr"/>
    </row>
    <row r="14">
      <c r="A14" s="3" t="inlineStr">
        <is>
          <t>THE INPUTS THAT MATTER MOST</t>
        </is>
      </c>
    </row>
    <row r="15">
      <c r="A15" s="2" t="inlineStr">
        <is>
          <t xml:space="preserve">  • Number of sites, purchase price, and average monthly lot rent drive the income.</t>
        </is>
      </c>
    </row>
    <row r="16">
      <c r="A16" s="2" t="inlineStr">
        <is>
          <t xml:space="preserve">  • Vacancy &amp; Credit Loss — be honest; verify against the actual rent roll, not the pro forma.</t>
        </is>
      </c>
    </row>
    <row r="17">
      <c r="A17" s="2" t="inlineStr">
        <is>
          <t xml:space="preserve">  • Operating expenses — get the seller's trailing-12 P&amp;L. Watch for understated taxes (they reset</t>
        </is>
      </c>
    </row>
    <row r="18">
      <c r="A18" s="2" t="inlineStr">
        <is>
          <t xml:space="preserve">    on sale) and missing management/payroll/reserves.</t>
        </is>
      </c>
    </row>
    <row r="19">
      <c r="A19" s="2" t="inlineStr">
        <is>
          <t xml:space="preserve">  • Financing — LTV, interest rate, amortization. Update to your actual lender quote.</t>
        </is>
      </c>
    </row>
    <row r="20">
      <c r="A20" s="2" t="inlineStr">
        <is>
          <t xml:space="preserve">  • Exit Cap Rate — usually set 0.5%-1.0% HIGHER than the going-in cap to be conservative.</t>
        </is>
      </c>
    </row>
    <row r="21">
      <c r="A21" s="2" t="inlineStr"/>
    </row>
    <row r="22">
      <c r="A22" s="2" t="inlineStr">
        <is>
          <t>RULES OF THUMB (screening, not gospel)</t>
        </is>
      </c>
    </row>
    <row r="23">
      <c r="A23" s="2" t="inlineStr">
        <is>
          <t xml:space="preserve">  • Cap rate: 8%+ is typical for RV parks; lower means you're paying up.</t>
        </is>
      </c>
    </row>
    <row r="24">
      <c r="A24" s="2" t="inlineStr">
        <is>
          <t xml:space="preserve">  • DSCR: lenders want 1.25x or better. Below 1.20x is a financing risk.</t>
        </is>
      </c>
    </row>
    <row r="25">
      <c r="A25" s="2" t="inlineStr">
        <is>
          <t xml:space="preserve">  • Cash-on-Cash: 8-12%+ year one is a healthy target.</t>
        </is>
      </c>
    </row>
    <row r="26">
      <c r="A26" s="2" t="inlineStr">
        <is>
          <t xml:space="preserve">  • Expense ratio: 35-50% of EGI is normal; under 30% usually means expenses are understated.</t>
        </is>
      </c>
    </row>
    <row r="27">
      <c r="A27" s="2" t="inlineStr">
        <is>
          <t xml:space="preserve">  • Always underwrite to ACTUALS first, then to your stabilized pro forma separately.</t>
        </is>
      </c>
    </row>
    <row r="28">
      <c r="A28" s="2" t="inlineStr"/>
    </row>
    <row r="29">
      <c r="A29" s="3" t="inlineStr">
        <is>
          <t>WATCH-OUTS SPECIFIC TO RV PARKS</t>
        </is>
      </c>
    </row>
    <row r="30">
      <c r="A30" s="2" t="inlineStr">
        <is>
          <t xml:space="preserve">  • Transient vs. annual/monthly mix — transient income is seasonal and far less stable.</t>
        </is>
      </c>
    </row>
    <row r="31">
      <c r="A31" s="2" t="inlineStr">
        <is>
          <t xml:space="preserve">  • Utility metering — are sites individually metered or is the owner eating utilities?</t>
        </is>
      </c>
    </row>
    <row r="32">
      <c r="A32" s="2" t="inlineStr">
        <is>
          <t xml:space="preserve">  • Infrastructure age — septic/sewer, electric pedestals (30/50 amp), and water lines are big CapEx.</t>
        </is>
      </c>
    </row>
    <row r="33">
      <c r="A33" s="2" t="inlineStr">
        <is>
          <t xml:space="preserve">  • Flood zone, seasonal closures, and percentage of park-owned rentals vs. tenant-owned rigs.</t>
        </is>
      </c>
    </row>
    <row r="34">
      <c r="A34" s="2" t="inlineStr"/>
    </row>
    <row r="35">
      <c r="A35" s="2" t="inlineStr">
        <is>
          <t>This is a screening tool, not investment advice. Verify every number and consult professionals.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0" customWidth="1" min="3" max="3"/>
  </cols>
  <sheetData>
    <row r="1" ht="26" customHeight="1">
      <c r="A1" s="4" t="inlineStr">
        <is>
          <t>RV PARK UNDERWRITING ANALYSIS</t>
        </is>
      </c>
    </row>
    <row r="3" ht="15" customHeight="1">
      <c r="A3" s="5" t="inlineStr">
        <is>
          <t>Property Name</t>
        </is>
      </c>
      <c r="B3" s="6" t="inlineStr">
        <is>
          <t>Enter property name</t>
        </is>
      </c>
      <c r="C3" s="7" t="inlineStr">
        <is>
          <t>Yellow cells = your inputs. Everything else calculates.</t>
        </is>
      </c>
    </row>
    <row r="4" ht="15" customHeight="1">
      <c r="A4" s="5" t="inlineStr">
        <is>
          <t>Location (City, ST)</t>
        </is>
      </c>
      <c r="B4" s="6" t="inlineStr">
        <is>
          <t>City, ST</t>
        </is>
      </c>
    </row>
    <row r="5" ht="15" customHeight="1">
      <c r="A5" s="5" t="inlineStr">
        <is>
          <t>Analysis Date</t>
        </is>
      </c>
      <c r="B5" s="6" t="inlineStr">
        <is>
          <t>2026-06-26</t>
        </is>
      </c>
    </row>
    <row r="6" ht="15" customHeight="1"/>
    <row r="7" ht="20" customHeight="1">
      <c r="A7" s="8" t="inlineStr">
        <is>
          <t>DEAL ASSUMPTIONS</t>
        </is>
      </c>
    </row>
    <row r="8" ht="15" customHeight="1">
      <c r="A8" s="5" t="inlineStr">
        <is>
          <t>Number of RV Sites (pads)</t>
        </is>
      </c>
      <c r="B8" s="9" t="n">
        <v>50</v>
      </c>
      <c r="C8" s="7" t="inlineStr">
        <is>
          <t>total rentable pads</t>
        </is>
      </c>
    </row>
    <row r="9" ht="15" customHeight="1">
      <c r="A9" s="5" t="inlineStr">
        <is>
          <t>Purchase Price</t>
        </is>
      </c>
      <c r="B9" s="10" t="n">
        <v>1500000</v>
      </c>
    </row>
    <row r="10" ht="15" customHeight="1">
      <c r="A10" s="5" t="inlineStr">
        <is>
          <t xml:space="preserve">  Price per Site</t>
        </is>
      </c>
      <c r="B10" s="11">
        <f>B9/B8</f>
        <v/>
      </c>
      <c r="C10" s="7" t="inlineStr">
        <is>
          <t>purchase price / sites</t>
        </is>
      </c>
    </row>
    <row r="11" ht="15" customHeight="1">
      <c r="A11" s="5" t="inlineStr">
        <is>
          <t>Avg. Monthly Rent per Site</t>
        </is>
      </c>
      <c r="B11" s="10" t="n">
        <v>450</v>
      </c>
      <c r="C11" s="7" t="inlineStr">
        <is>
          <t>blended lot rent / month</t>
        </is>
      </c>
    </row>
    <row r="12" ht="15" customHeight="1">
      <c r="A12" s="5" t="inlineStr">
        <is>
          <t>Vacancy &amp; Credit Loss %</t>
        </is>
      </c>
      <c r="B12" s="12" t="n">
        <v>0.15</v>
      </c>
      <c r="C12" s="7" t="inlineStr">
        <is>
          <t>economic vacancy</t>
        </is>
      </c>
    </row>
    <row r="13" ht="15" customHeight="1">
      <c r="A13" s="5" t="inlineStr">
        <is>
          <t>Other Income (monthly)</t>
        </is>
      </c>
      <c r="B13" s="10" t="n">
        <v>1500</v>
      </c>
      <c r="C13" s="7" t="inlineStr">
        <is>
          <t>store, laundry, propane, fees</t>
        </is>
      </c>
    </row>
    <row r="14" ht="15" customHeight="1">
      <c r="A14" s="5" t="inlineStr">
        <is>
          <t>Management Fee (% of EGI)</t>
        </is>
      </c>
      <c r="B14" s="12" t="n">
        <v>0.08</v>
      </c>
      <c r="C14" s="7" t="inlineStr">
        <is>
          <t>3rd-party or self-mgmt</t>
        </is>
      </c>
    </row>
    <row r="15" ht="15" customHeight="1">
      <c r="A15" s="5" t="inlineStr">
        <is>
          <t>Replacement Reserves / site / yr</t>
        </is>
      </c>
      <c r="B15" s="10" t="n">
        <v>100</v>
      </c>
      <c r="C15" s="7" t="inlineStr">
        <is>
          <t>capital reserve</t>
        </is>
      </c>
    </row>
    <row r="16" ht="15" customHeight="1">
      <c r="A16" s="5" t="inlineStr">
        <is>
          <t>Annual Rent Growth %</t>
        </is>
      </c>
      <c r="B16" s="12" t="n">
        <v>0.03</v>
      </c>
      <c r="C16" s="7" t="inlineStr">
        <is>
          <t>for multi-year projection</t>
        </is>
      </c>
    </row>
    <row r="17" ht="15" customHeight="1">
      <c r="A17" s="5" t="inlineStr">
        <is>
          <t>Annual Expense Growth %</t>
        </is>
      </c>
      <c r="B17" s="12" t="n">
        <v>0.025</v>
      </c>
      <c r="C17" s="7" t="inlineStr">
        <is>
          <t>for multi-year projection</t>
        </is>
      </c>
    </row>
    <row r="18" ht="15" customHeight="1"/>
    <row r="19" ht="20" customHeight="1">
      <c r="A19" s="8" t="inlineStr">
        <is>
          <t>INCOME  (Year 1 Stabilized Pro Forma)</t>
        </is>
      </c>
    </row>
    <row r="20" ht="15" customHeight="1">
      <c r="A20" s="5" t="inlineStr">
        <is>
          <t>Gross Potential Rent (GPR)</t>
        </is>
      </c>
      <c r="B20" s="11">
        <f>B8*B11*12</f>
        <v/>
      </c>
      <c r="C20" s="7" t="inlineStr">
        <is>
          <t>annual</t>
        </is>
      </c>
    </row>
    <row r="21" ht="15" customHeight="1">
      <c r="A21" s="5" t="inlineStr">
        <is>
          <t>Less: Vacancy &amp; Credit Loss</t>
        </is>
      </c>
      <c r="B21" s="11">
        <f>-B20*B12</f>
        <v/>
      </c>
    </row>
    <row r="22" ht="15" customHeight="1">
      <c r="A22" s="5" t="inlineStr">
        <is>
          <t>Plus: Other Income</t>
        </is>
      </c>
      <c r="B22" s="11">
        <f>B13*12</f>
        <v/>
      </c>
    </row>
    <row r="23" ht="15" customHeight="1">
      <c r="A23" s="13" t="inlineStr">
        <is>
          <t>Effective Gross Income (EGI)</t>
        </is>
      </c>
      <c r="B23" s="14">
        <f>B20+B21+B22</f>
        <v/>
      </c>
    </row>
    <row r="24" ht="15" customHeight="1"/>
    <row r="25" ht="20" customHeight="1">
      <c r="A25" s="8" t="inlineStr">
        <is>
          <t>OPERATING EXPENSES  (Year 1)</t>
        </is>
      </c>
    </row>
    <row r="26" ht="15" customHeight="1">
      <c r="A26" s="5" t="inlineStr">
        <is>
          <t>Property Taxes</t>
        </is>
      </c>
      <c r="B26" s="10" t="n">
        <v>18000</v>
      </c>
    </row>
    <row r="27" ht="15" customHeight="1">
      <c r="A27" s="5" t="inlineStr">
        <is>
          <t>Insurance</t>
        </is>
      </c>
      <c r="B27" s="10" t="n">
        <v>9000</v>
      </c>
    </row>
    <row r="28" ht="15" customHeight="1">
      <c r="A28" s="5" t="inlineStr">
        <is>
          <t>Utilities (water/sewer/trash/elec)</t>
        </is>
      </c>
      <c r="B28" s="10" t="n">
        <v>36000</v>
      </c>
      <c r="C28" s="7" t="inlineStr">
        <is>
          <t>owner-paid portion</t>
        </is>
      </c>
    </row>
    <row r="29" ht="15" customHeight="1">
      <c r="A29" s="5" t="inlineStr">
        <is>
          <t>Repairs &amp; Maintenance</t>
        </is>
      </c>
      <c r="B29" s="10" t="n">
        <v>15000</v>
      </c>
    </row>
    <row r="30" ht="15" customHeight="1">
      <c r="A30" s="5" t="inlineStr">
        <is>
          <t>Payroll / Onsite Manager</t>
        </is>
      </c>
      <c r="B30" s="10" t="n">
        <v>24000</v>
      </c>
    </row>
    <row r="31" ht="15" customHeight="1">
      <c r="A31" s="5" t="inlineStr">
        <is>
          <t>Marketing, Admin, Office</t>
        </is>
      </c>
      <c r="B31" s="10" t="n">
        <v>8000</v>
      </c>
    </row>
    <row r="32" ht="15" customHeight="1">
      <c r="A32" s="5" t="inlineStr">
        <is>
          <t>Management Fee</t>
        </is>
      </c>
      <c r="B32" s="11">
        <f>B14*B23</f>
        <v/>
      </c>
      <c r="C32" s="7">
        <f> mgmt % x EGI</f>
        <v/>
      </c>
    </row>
    <row r="33" ht="15" customHeight="1">
      <c r="A33" s="5" t="inlineStr">
        <is>
          <t>Replacement Reserves</t>
        </is>
      </c>
      <c r="B33" s="11">
        <f>B15*B8</f>
        <v/>
      </c>
    </row>
    <row r="34" ht="15" customHeight="1">
      <c r="A34" s="13" t="inlineStr">
        <is>
          <t>Total Operating Expenses</t>
        </is>
      </c>
      <c r="B34" s="14">
        <f>SUM(B26:B33)</f>
        <v/>
      </c>
    </row>
    <row r="35" ht="15" customHeight="1">
      <c r="A35" s="5" t="inlineStr">
        <is>
          <t>Operating Expense Ratio</t>
        </is>
      </c>
      <c r="B35" s="15">
        <f>B34/B23</f>
        <v/>
      </c>
      <c r="C35" s="7" t="inlineStr">
        <is>
          <t>OpEx / EGI</t>
        </is>
      </c>
    </row>
    <row r="36" ht="15" customHeight="1">
      <c r="A36" s="5" t="inlineStr">
        <is>
          <t>Expenses per Site</t>
        </is>
      </c>
      <c r="B36" s="11">
        <f>B34/B8</f>
        <v/>
      </c>
    </row>
    <row r="37" ht="15" customHeight="1"/>
    <row r="38" ht="20" customHeight="1">
      <c r="A38" s="8" t="inlineStr">
        <is>
          <t>NET OPERATING INCOME</t>
        </is>
      </c>
    </row>
    <row r="39" ht="15" customHeight="1">
      <c r="A39" s="13" t="inlineStr">
        <is>
          <t>Net Operating Income (NOI)</t>
        </is>
      </c>
      <c r="B39" s="16">
        <f>B23-B34</f>
        <v/>
      </c>
    </row>
    <row r="40" ht="15" customHeight="1">
      <c r="A40" s="5" t="inlineStr">
        <is>
          <t>NOI per Site</t>
        </is>
      </c>
      <c r="B40" s="11">
        <f>B39/B8</f>
        <v/>
      </c>
    </row>
    <row r="41" ht="15" customHeight="1"/>
    <row r="42" ht="20" customHeight="1">
      <c r="A42" s="8" t="inlineStr">
        <is>
          <t>FINANCING &amp; EXIT ASSUMPTIONS</t>
        </is>
      </c>
    </row>
    <row r="43" ht="15" customHeight="1">
      <c r="A43" s="5" t="inlineStr">
        <is>
          <t>Loan-to-Value (LTV) %</t>
        </is>
      </c>
      <c r="B43" s="12" t="n">
        <v>0.7</v>
      </c>
    </row>
    <row r="44" ht="15" customHeight="1">
      <c r="A44" s="5" t="inlineStr">
        <is>
          <t>Interest Rate %</t>
        </is>
      </c>
      <c r="B44" s="17" t="n">
        <v>0.07000000000000001</v>
      </c>
      <c r="C44" s="7" t="inlineStr">
        <is>
          <t>annual</t>
        </is>
      </c>
    </row>
    <row r="45" ht="15" customHeight="1">
      <c r="A45" s="5" t="inlineStr">
        <is>
          <t>Amortization (years)</t>
        </is>
      </c>
      <c r="B45" s="9" t="n">
        <v>25</v>
      </c>
    </row>
    <row r="46" ht="15" customHeight="1">
      <c r="A46" s="5" t="inlineStr">
        <is>
          <t>Closing Costs %</t>
        </is>
      </c>
      <c r="B46" s="12" t="n">
        <v>0.03</v>
      </c>
      <c r="C46" s="7" t="inlineStr">
        <is>
          <t>of purchase price</t>
        </is>
      </c>
    </row>
    <row r="47" ht="15" customHeight="1">
      <c r="A47" s="5" t="inlineStr">
        <is>
          <t>Initial CapEx / Rehab</t>
        </is>
      </c>
      <c r="B47" s="10" t="n">
        <v>50000</v>
      </c>
      <c r="C47" s="7" t="inlineStr">
        <is>
          <t>day-one improvements</t>
        </is>
      </c>
    </row>
    <row r="48" ht="15" customHeight="1">
      <c r="A48" s="5" t="inlineStr">
        <is>
          <t>Hold Period (years)</t>
        </is>
      </c>
      <c r="B48" s="9" t="n">
        <v>5</v>
      </c>
      <c r="C48" s="7" t="inlineStr">
        <is>
          <t>1-10</t>
        </is>
      </c>
    </row>
    <row r="49" ht="15" customHeight="1">
      <c r="A49" s="5" t="inlineStr">
        <is>
          <t>Exit Cap Rate %</t>
        </is>
      </c>
      <c r="B49" s="17" t="n">
        <v>0.08500000000000001</v>
      </c>
      <c r="C49" s="7" t="inlineStr">
        <is>
          <t>for sale value</t>
        </is>
      </c>
    </row>
    <row r="50" ht="15" customHeight="1">
      <c r="A50" s="5" t="inlineStr">
        <is>
          <t>Selling Costs %</t>
        </is>
      </c>
      <c r="B50" s="12" t="n">
        <v>0.05</v>
      </c>
      <c r="C50" s="7" t="inlineStr">
        <is>
          <t>of sale price</t>
        </is>
      </c>
    </row>
    <row r="51" ht="15" customHeight="1"/>
    <row r="52" ht="20" customHeight="1">
      <c r="A52" s="8" t="inlineStr">
        <is>
          <t>DEBT &amp; EQUITY</t>
        </is>
      </c>
    </row>
    <row r="53" ht="15" customHeight="1">
      <c r="A53" s="5" t="inlineStr">
        <is>
          <t>Loan Amount</t>
        </is>
      </c>
      <c r="B53" s="11">
        <f>B9*B43</f>
        <v/>
      </c>
    </row>
    <row r="54" ht="15" customHeight="1">
      <c r="A54" s="5" t="inlineStr">
        <is>
          <t>Down Payment (Equity)</t>
        </is>
      </c>
      <c r="B54" s="11">
        <f>B9-B53</f>
        <v/>
      </c>
    </row>
    <row r="55" ht="15" customHeight="1">
      <c r="A55" s="5" t="inlineStr">
        <is>
          <t>Closing Costs</t>
        </is>
      </c>
      <c r="B55" s="11">
        <f>B9*B46</f>
        <v/>
      </c>
    </row>
    <row r="56" ht="15" customHeight="1">
      <c r="A56" s="13" t="inlineStr">
        <is>
          <t>Total Cash Required</t>
        </is>
      </c>
      <c r="B56" s="14">
        <f>B54+B55+B47</f>
        <v/>
      </c>
    </row>
    <row r="57" ht="15" customHeight="1">
      <c r="A57" s="5" t="inlineStr">
        <is>
          <t>Monthly Debt Payment</t>
        </is>
      </c>
      <c r="B57" s="11">
        <f>PMT(B44/12,B45*12,-B53)</f>
        <v/>
      </c>
    </row>
    <row r="58" ht="15" customHeight="1">
      <c r="A58" s="13" t="inlineStr">
        <is>
          <t>Annual Debt Service</t>
        </is>
      </c>
      <c r="B58" s="18">
        <f>B57*12</f>
        <v/>
      </c>
    </row>
    <row r="59" ht="15" customHeight="1"/>
    <row r="60" ht="20" customHeight="1">
      <c r="A60" s="8" t="inlineStr">
        <is>
          <t>KEY RETURN METRICS  (Year 1)</t>
        </is>
      </c>
    </row>
    <row r="61" ht="15" customHeight="1">
      <c r="A61" s="13" t="inlineStr">
        <is>
          <t>Going-in Cap Rate</t>
        </is>
      </c>
      <c r="B61" s="19">
        <f>B39/B9</f>
        <v/>
      </c>
      <c r="C61" s="7" t="inlineStr">
        <is>
          <t>NOI / Price</t>
        </is>
      </c>
    </row>
    <row r="62" ht="15" customHeight="1">
      <c r="A62" s="13" t="inlineStr">
        <is>
          <t>Cash Flow Before Tax (CFBT)</t>
        </is>
      </c>
      <c r="B62" s="16">
        <f>B39-B58</f>
        <v/>
      </c>
    </row>
    <row r="63" ht="15" customHeight="1">
      <c r="A63" s="13" t="inlineStr">
        <is>
          <t>Cash-on-Cash Return</t>
        </is>
      </c>
      <c r="B63" s="19">
        <f>B62/B56</f>
        <v/>
      </c>
      <c r="C63" s="7" t="inlineStr">
        <is>
          <t>CFBT / cash invested</t>
        </is>
      </c>
    </row>
    <row r="64" ht="15" customHeight="1">
      <c r="A64" s="13" t="inlineStr">
        <is>
          <t>Debt Service Coverage (DSCR)</t>
        </is>
      </c>
      <c r="B64" s="20">
        <f>B39/B58</f>
        <v/>
      </c>
      <c r="C64" s="7" t="inlineStr">
        <is>
          <t>lenders want &gt;= 1.25x</t>
        </is>
      </c>
    </row>
    <row r="65" ht="15" customHeight="1">
      <c r="A65" s="5" t="inlineStr">
        <is>
          <t>Gross Rent Multiplier (GRM)</t>
        </is>
      </c>
      <c r="B65" s="21">
        <f>B9/B20</f>
        <v/>
      </c>
    </row>
    <row r="66" ht="15" customHeight="1">
      <c r="A66" s="5" t="inlineStr">
        <is>
          <t>Break-even Occupancy</t>
        </is>
      </c>
      <c r="B66" s="15">
        <f>(B34+B58)/(B20+B22)</f>
        <v/>
      </c>
      <c r="C66" s="7" t="inlineStr">
        <is>
          <t>occupancy needed to cover costs</t>
        </is>
      </c>
    </row>
    <row r="67" ht="15" customHeight="1">
      <c r="A67" s="5" t="inlineStr">
        <is>
          <t>Debt Yield</t>
        </is>
      </c>
      <c r="B67" s="15">
        <f>B39/B53</f>
        <v/>
      </c>
      <c r="C67" s="7" t="inlineStr">
        <is>
          <t>NOI / loan (lender metric)</t>
        </is>
      </c>
    </row>
  </sheetData>
  <mergeCells count="8">
    <mergeCell ref="A25:C25"/>
    <mergeCell ref="A42:C42"/>
    <mergeCell ref="A60:C60"/>
    <mergeCell ref="A19:C19"/>
    <mergeCell ref="A1:C1"/>
    <mergeCell ref="A7:C7"/>
    <mergeCell ref="A38:C38"/>
    <mergeCell ref="A52:C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" customHeight="1">
      <c r="A1" s="4" t="inlineStr">
        <is>
          <t>10-YEAR PRO FORMA &amp; RETURNS</t>
        </is>
      </c>
    </row>
    <row r="3" ht="18" customHeight="1">
      <c r="A3" s="22" t="inlineStr">
        <is>
          <t>Year</t>
        </is>
      </c>
      <c r="B3" s="23" t="n">
        <v>0</v>
      </c>
      <c r="C3" s="23" t="n">
        <v>1</v>
      </c>
      <c r="D3" s="23" t="n">
        <v>2</v>
      </c>
      <c r="E3" s="23" t="n">
        <v>3</v>
      </c>
      <c r="F3" s="23" t="n">
        <v>4</v>
      </c>
      <c r="G3" s="23" t="n">
        <v>5</v>
      </c>
      <c r="H3" s="23" t="n">
        <v>6</v>
      </c>
      <c r="I3" s="23" t="n">
        <v>7</v>
      </c>
      <c r="J3" s="23" t="n">
        <v>8</v>
      </c>
      <c r="K3" s="23" t="n">
        <v>9</v>
      </c>
      <c r="L3" s="23" t="n">
        <v>10</v>
      </c>
    </row>
    <row r="5">
      <c r="A5" s="5" t="inlineStr">
        <is>
          <t>Gross Potential Rent</t>
        </is>
      </c>
      <c r="C5" s="11">
        <f>Underwriting!B20*(1+Underwriting!B16)^0</f>
        <v/>
      </c>
      <c r="D5" s="11">
        <f>Underwriting!B20*(1+Underwriting!B16)^1</f>
        <v/>
      </c>
      <c r="E5" s="11">
        <f>Underwriting!B20*(1+Underwriting!B16)^2</f>
        <v/>
      </c>
      <c r="F5" s="11">
        <f>Underwriting!B20*(1+Underwriting!B16)^3</f>
        <v/>
      </c>
      <c r="G5" s="11">
        <f>Underwriting!B20*(1+Underwriting!B16)^4</f>
        <v/>
      </c>
      <c r="H5" s="11">
        <f>Underwriting!B20*(1+Underwriting!B16)^5</f>
        <v/>
      </c>
      <c r="I5" s="11">
        <f>Underwriting!B20*(1+Underwriting!B16)^6</f>
        <v/>
      </c>
      <c r="J5" s="11">
        <f>Underwriting!B20*(1+Underwriting!B16)^7</f>
        <v/>
      </c>
      <c r="K5" s="11">
        <f>Underwriting!B20*(1+Underwriting!B16)^8</f>
        <v/>
      </c>
      <c r="L5" s="11">
        <f>Underwriting!B20*(1+Underwriting!B16)^9</f>
        <v/>
      </c>
    </row>
    <row r="6">
      <c r="A6" s="5" t="inlineStr">
        <is>
          <t>Less: Vacancy &amp; Credit Loss</t>
        </is>
      </c>
      <c r="C6" s="11">
        <f>-C5*Underwriting!B12</f>
        <v/>
      </c>
      <c r="D6" s="11">
        <f>-D5*Underwriting!B12</f>
        <v/>
      </c>
      <c r="E6" s="11">
        <f>-E5*Underwriting!B12</f>
        <v/>
      </c>
      <c r="F6" s="11">
        <f>-F5*Underwriting!B12</f>
        <v/>
      </c>
      <c r="G6" s="11">
        <f>-G5*Underwriting!B12</f>
        <v/>
      </c>
      <c r="H6" s="11">
        <f>-H5*Underwriting!B12</f>
        <v/>
      </c>
      <c r="I6" s="11">
        <f>-I5*Underwriting!B12</f>
        <v/>
      </c>
      <c r="J6" s="11">
        <f>-J5*Underwriting!B12</f>
        <v/>
      </c>
      <c r="K6" s="11">
        <f>-K5*Underwriting!B12</f>
        <v/>
      </c>
      <c r="L6" s="11">
        <f>-L5*Underwriting!B12</f>
        <v/>
      </c>
    </row>
    <row r="7">
      <c r="A7" s="5" t="inlineStr">
        <is>
          <t>Other Income</t>
        </is>
      </c>
      <c r="C7" s="11">
        <f>Underwriting!B22*(1+Underwriting!B16)^0</f>
        <v/>
      </c>
      <c r="D7" s="11">
        <f>Underwriting!B22*(1+Underwriting!B16)^1</f>
        <v/>
      </c>
      <c r="E7" s="11">
        <f>Underwriting!B22*(1+Underwriting!B16)^2</f>
        <v/>
      </c>
      <c r="F7" s="11">
        <f>Underwriting!B22*(1+Underwriting!B16)^3</f>
        <v/>
      </c>
      <c r="G7" s="11">
        <f>Underwriting!B22*(1+Underwriting!B16)^4</f>
        <v/>
      </c>
      <c r="H7" s="11">
        <f>Underwriting!B22*(1+Underwriting!B16)^5</f>
        <v/>
      </c>
      <c r="I7" s="11">
        <f>Underwriting!B22*(1+Underwriting!B16)^6</f>
        <v/>
      </c>
      <c r="J7" s="11">
        <f>Underwriting!B22*(1+Underwriting!B16)^7</f>
        <v/>
      </c>
      <c r="K7" s="11">
        <f>Underwriting!B22*(1+Underwriting!B16)^8</f>
        <v/>
      </c>
      <c r="L7" s="11">
        <f>Underwriting!B22*(1+Underwriting!B16)^9</f>
        <v/>
      </c>
    </row>
    <row r="8">
      <c r="A8" s="13" t="inlineStr">
        <is>
          <t>Effective Gross Income</t>
        </is>
      </c>
      <c r="C8" s="14">
        <f>C5+C6+C7</f>
        <v/>
      </c>
      <c r="D8" s="14">
        <f>D5+D6+D7</f>
        <v/>
      </c>
      <c r="E8" s="14">
        <f>E5+E6+E7</f>
        <v/>
      </c>
      <c r="F8" s="14">
        <f>F5+F6+F7</f>
        <v/>
      </c>
      <c r="G8" s="14">
        <f>G5+G6+G7</f>
        <v/>
      </c>
      <c r="H8" s="14">
        <f>H5+H6+H7</f>
        <v/>
      </c>
      <c r="I8" s="14">
        <f>I5+I6+I7</f>
        <v/>
      </c>
      <c r="J8" s="14">
        <f>J5+J6+J7</f>
        <v/>
      </c>
      <c r="K8" s="14">
        <f>K5+K6+K7</f>
        <v/>
      </c>
      <c r="L8" s="14">
        <f>L5+L6+L7</f>
        <v/>
      </c>
    </row>
    <row r="9">
      <c r="A9" s="5" t="inlineStr">
        <is>
          <t>Operating Expenses</t>
        </is>
      </c>
      <c r="C9" s="11">
        <f>Underwriting!B34*(1+Underwriting!B17)^0</f>
        <v/>
      </c>
      <c r="D9" s="11">
        <f>Underwriting!B34*(1+Underwriting!B17)^1</f>
        <v/>
      </c>
      <c r="E9" s="11">
        <f>Underwriting!B34*(1+Underwriting!B17)^2</f>
        <v/>
      </c>
      <c r="F9" s="11">
        <f>Underwriting!B34*(1+Underwriting!B17)^3</f>
        <v/>
      </c>
      <c r="G9" s="11">
        <f>Underwriting!B34*(1+Underwriting!B17)^4</f>
        <v/>
      </c>
      <c r="H9" s="11">
        <f>Underwriting!B34*(1+Underwriting!B17)^5</f>
        <v/>
      </c>
      <c r="I9" s="11">
        <f>Underwriting!B34*(1+Underwriting!B17)^6</f>
        <v/>
      </c>
      <c r="J9" s="11">
        <f>Underwriting!B34*(1+Underwriting!B17)^7</f>
        <v/>
      </c>
      <c r="K9" s="11">
        <f>Underwriting!B34*(1+Underwriting!B17)^8</f>
        <v/>
      </c>
      <c r="L9" s="11">
        <f>Underwriting!B34*(1+Underwriting!B17)^9</f>
        <v/>
      </c>
    </row>
    <row r="10">
      <c r="A10" s="13" t="inlineStr">
        <is>
          <t>Net Operating Income</t>
        </is>
      </c>
      <c r="C10" s="16">
        <f>C8-C9</f>
        <v/>
      </c>
      <c r="D10" s="16">
        <f>D8-D9</f>
        <v/>
      </c>
      <c r="E10" s="16">
        <f>E8-E9</f>
        <v/>
      </c>
      <c r="F10" s="16">
        <f>F8-F9</f>
        <v/>
      </c>
      <c r="G10" s="16">
        <f>G8-G9</f>
        <v/>
      </c>
      <c r="H10" s="16">
        <f>H8-H9</f>
        <v/>
      </c>
      <c r="I10" s="16">
        <f>I8-I9</f>
        <v/>
      </c>
      <c r="J10" s="16">
        <f>J8-J9</f>
        <v/>
      </c>
      <c r="K10" s="16">
        <f>K8-K9</f>
        <v/>
      </c>
      <c r="L10" s="16">
        <f>L8-L9</f>
        <v/>
      </c>
    </row>
    <row r="11">
      <c r="A11" s="5" t="inlineStr">
        <is>
          <t>Annual Debt Service</t>
        </is>
      </c>
      <c r="C11" s="11">
        <f>IF(1&lt;=Underwriting!B48,Underwriting!B58,0)</f>
        <v/>
      </c>
      <c r="D11" s="11">
        <f>IF(2&lt;=Underwriting!B48,Underwriting!B58,0)</f>
        <v/>
      </c>
      <c r="E11" s="11">
        <f>IF(3&lt;=Underwriting!B48,Underwriting!B58,0)</f>
        <v/>
      </c>
      <c r="F11" s="11">
        <f>IF(4&lt;=Underwriting!B48,Underwriting!B58,0)</f>
        <v/>
      </c>
      <c r="G11" s="11">
        <f>IF(5&lt;=Underwriting!B48,Underwriting!B58,0)</f>
        <v/>
      </c>
      <c r="H11" s="11">
        <f>IF(6&lt;=Underwriting!B48,Underwriting!B58,0)</f>
        <v/>
      </c>
      <c r="I11" s="11">
        <f>IF(7&lt;=Underwriting!B48,Underwriting!B58,0)</f>
        <v/>
      </c>
      <c r="J11" s="11">
        <f>IF(8&lt;=Underwriting!B48,Underwriting!B58,0)</f>
        <v/>
      </c>
      <c r="K11" s="11">
        <f>IF(9&lt;=Underwriting!B48,Underwriting!B58,0)</f>
        <v/>
      </c>
      <c r="L11" s="11">
        <f>IF(10&lt;=Underwriting!B48,Underwriting!B58,0)</f>
        <v/>
      </c>
    </row>
    <row r="12">
      <c r="A12" s="5" t="inlineStr">
        <is>
          <t>Loan Balance (end of yr)</t>
        </is>
      </c>
      <c r="B12" s="11">
        <f>Underwriting!B53</f>
        <v/>
      </c>
      <c r="C12" s="11">
        <f>Underwriting!B53*(1+(Underwriting!B44/12))^(MIN(1,Underwriting!B45)*12)-Underwriting!B57*(((1+(Underwriting!B44/12))^(MIN(1,Underwriting!B45)*12)-1)/(Underwriting!B44/12))</f>
        <v/>
      </c>
      <c r="D12" s="11">
        <f>Underwriting!B53*(1+(Underwriting!B44/12))^(MIN(2,Underwriting!B45)*12)-Underwriting!B57*(((1+(Underwriting!B44/12))^(MIN(2,Underwriting!B45)*12)-1)/(Underwriting!B44/12))</f>
        <v/>
      </c>
      <c r="E12" s="11">
        <f>Underwriting!B53*(1+(Underwriting!B44/12))^(MIN(3,Underwriting!B45)*12)-Underwriting!B57*(((1+(Underwriting!B44/12))^(MIN(3,Underwriting!B45)*12)-1)/(Underwriting!B44/12))</f>
        <v/>
      </c>
      <c r="F12" s="11">
        <f>Underwriting!B53*(1+(Underwriting!B44/12))^(MIN(4,Underwriting!B45)*12)-Underwriting!B57*(((1+(Underwriting!B44/12))^(MIN(4,Underwriting!B45)*12)-1)/(Underwriting!B44/12))</f>
        <v/>
      </c>
      <c r="G12" s="11">
        <f>Underwriting!B53*(1+(Underwriting!B44/12))^(MIN(5,Underwriting!B45)*12)-Underwriting!B57*(((1+(Underwriting!B44/12))^(MIN(5,Underwriting!B45)*12)-1)/(Underwriting!B44/12))</f>
        <v/>
      </c>
      <c r="H12" s="11">
        <f>Underwriting!B53*(1+(Underwriting!B44/12))^(MIN(6,Underwriting!B45)*12)-Underwriting!B57*(((1+(Underwriting!B44/12))^(MIN(6,Underwriting!B45)*12)-1)/(Underwriting!B44/12))</f>
        <v/>
      </c>
      <c r="I12" s="11">
        <f>Underwriting!B53*(1+(Underwriting!B44/12))^(MIN(7,Underwriting!B45)*12)-Underwriting!B57*(((1+(Underwriting!B44/12))^(MIN(7,Underwriting!B45)*12)-1)/(Underwriting!B44/12))</f>
        <v/>
      </c>
      <c r="J12" s="11">
        <f>Underwriting!B53*(1+(Underwriting!B44/12))^(MIN(8,Underwriting!B45)*12)-Underwriting!B57*(((1+(Underwriting!B44/12))^(MIN(8,Underwriting!B45)*12)-1)/(Underwriting!B44/12))</f>
        <v/>
      </c>
      <c r="K12" s="11">
        <f>Underwriting!B53*(1+(Underwriting!B44/12))^(MIN(9,Underwriting!B45)*12)-Underwriting!B57*(((1+(Underwriting!B44/12))^(MIN(9,Underwriting!B45)*12)-1)/(Underwriting!B44/12))</f>
        <v/>
      </c>
      <c r="L12" s="11">
        <f>Underwriting!B53*(1+(Underwriting!B44/12))^(MIN(10,Underwriting!B45)*12)-Underwriting!B57*(((1+(Underwriting!B44/12))^(MIN(10,Underwriting!B45)*12)-1)/(Underwriting!B44/12))</f>
        <v/>
      </c>
    </row>
    <row r="13">
      <c r="A13" s="13" t="inlineStr">
        <is>
          <t>Operating Cash Flow</t>
        </is>
      </c>
      <c r="C13" s="18">
        <f>IF(1&lt;=Underwriting!B48,C10-C11,0)</f>
        <v/>
      </c>
      <c r="D13" s="18">
        <f>IF(2&lt;=Underwriting!B48,D10-D11,0)</f>
        <v/>
      </c>
      <c r="E13" s="18">
        <f>IF(3&lt;=Underwriting!B48,E10-E11,0)</f>
        <v/>
      </c>
      <c r="F13" s="18">
        <f>IF(4&lt;=Underwriting!B48,F10-F11,0)</f>
        <v/>
      </c>
      <c r="G13" s="18">
        <f>IF(5&lt;=Underwriting!B48,G10-G11,0)</f>
        <v/>
      </c>
      <c r="H13" s="18">
        <f>IF(6&lt;=Underwriting!B48,H10-H11,0)</f>
        <v/>
      </c>
      <c r="I13" s="18">
        <f>IF(7&lt;=Underwriting!B48,I10-I11,0)</f>
        <v/>
      </c>
      <c r="J13" s="18">
        <f>IF(8&lt;=Underwriting!B48,J10-J11,0)</f>
        <v/>
      </c>
      <c r="K13" s="18">
        <f>IF(9&lt;=Underwriting!B48,K10-K11,0)</f>
        <v/>
      </c>
      <c r="L13" s="18">
        <f>IF(10&lt;=Underwriting!B48,L10-L11,0)</f>
        <v/>
      </c>
    </row>
    <row r="14">
      <c r="A14" s="5" t="inlineStr">
        <is>
          <t>Net Sale Proceeds (reversion)</t>
        </is>
      </c>
      <c r="C14" s="24">
        <f>IF(1=Underwriting!B48,((C10*(1+Underwriting!B16))/Underwriting!B49)*(1-Underwriting!B50)-C12,0)</f>
        <v/>
      </c>
      <c r="D14" s="24">
        <f>IF(2=Underwriting!B48,((D10*(1+Underwriting!B16))/Underwriting!B49)*(1-Underwriting!B50)-D12,0)</f>
        <v/>
      </c>
      <c r="E14" s="24">
        <f>IF(3=Underwriting!B48,((E10*(1+Underwriting!B16))/Underwriting!B49)*(1-Underwriting!B50)-E12,0)</f>
        <v/>
      </c>
      <c r="F14" s="24">
        <f>IF(4=Underwriting!B48,((F10*(1+Underwriting!B16))/Underwriting!B49)*(1-Underwriting!B50)-F12,0)</f>
        <v/>
      </c>
      <c r="G14" s="24">
        <f>IF(5=Underwriting!B48,((G10*(1+Underwriting!B16))/Underwriting!B49)*(1-Underwriting!B50)-G12,0)</f>
        <v/>
      </c>
      <c r="H14" s="24">
        <f>IF(6=Underwriting!B48,((H10*(1+Underwriting!B16))/Underwriting!B49)*(1-Underwriting!B50)-H12,0)</f>
        <v/>
      </c>
      <c r="I14" s="24">
        <f>IF(7=Underwriting!B48,((I10*(1+Underwriting!B16))/Underwriting!B49)*(1-Underwriting!B50)-I12,0)</f>
        <v/>
      </c>
      <c r="J14" s="24">
        <f>IF(8=Underwriting!B48,((J10*(1+Underwriting!B16))/Underwriting!B49)*(1-Underwriting!B50)-J12,0)</f>
        <v/>
      </c>
      <c r="K14" s="24">
        <f>IF(9=Underwriting!B48,((K10*(1+Underwriting!B16))/Underwriting!B49)*(1-Underwriting!B50)-K12,0)</f>
        <v/>
      </c>
      <c r="L14" s="24">
        <f>IF(10=Underwriting!B48,((L10*(1+Underwriting!B16))/Underwriting!B49)*(1-Underwriting!B50)-L12,0)</f>
        <v/>
      </c>
    </row>
    <row r="15">
      <c r="A15" s="13" t="inlineStr">
        <is>
          <t>Total Cash Flow (for IRR)</t>
        </is>
      </c>
      <c r="B15" s="16">
        <f>-Underwriting!B56</f>
        <v/>
      </c>
      <c r="C15" s="16">
        <f>C13+C14</f>
        <v/>
      </c>
      <c r="D15" s="16">
        <f>D13+D14</f>
        <v/>
      </c>
      <c r="E15" s="16">
        <f>E13+E14</f>
        <v/>
      </c>
      <c r="F15" s="16">
        <f>F13+F14</f>
        <v/>
      </c>
      <c r="G15" s="16">
        <f>G13+G14</f>
        <v/>
      </c>
      <c r="H15" s="16">
        <f>H13+H14</f>
        <v/>
      </c>
      <c r="I15" s="16">
        <f>I13+I14</f>
        <v/>
      </c>
      <c r="J15" s="16">
        <f>J13+J14</f>
        <v/>
      </c>
      <c r="K15" s="16">
        <f>K13+K14</f>
        <v/>
      </c>
      <c r="L15" s="16">
        <f>L13+L14</f>
        <v/>
      </c>
    </row>
    <row r="17">
      <c r="A17" s="25" t="inlineStr">
        <is>
          <t>RETURN SUMMARY (over hold period)</t>
        </is>
      </c>
    </row>
    <row r="18">
      <c r="A18" s="13" t="inlineStr">
        <is>
          <t>Levered IRR</t>
        </is>
      </c>
      <c r="B18" s="19">
        <f>IRR(B15:L15)</f>
        <v/>
      </c>
      <c r="C18" s="7" t="inlineStr">
        <is>
          <t>internal rate of return on equity</t>
        </is>
      </c>
    </row>
    <row r="19">
      <c r="A19" s="13" t="inlineStr">
        <is>
          <t>Equity Multiple</t>
        </is>
      </c>
      <c r="B19" s="20">
        <f>(SUM(C13:L13)+SUM(C14:L14))/-B15</f>
        <v/>
      </c>
    </row>
    <row r="20">
      <c r="A20" s="13" t="inlineStr">
        <is>
          <t>Avg. Cash-on-Cash</t>
        </is>
      </c>
      <c r="B20" s="19">
        <f>AVERAGEIF(C11:L11,"&gt;0",C13:L13)/Underwriting!B56</f>
        <v/>
      </c>
      <c r="C20" s="7" t="inlineStr">
        <is>
          <t>avg operating CF / equity during hold</t>
        </is>
      </c>
    </row>
    <row r="21">
      <c r="A21" s="13" t="inlineStr">
        <is>
          <t>Year-1 Cash-on-Cash</t>
        </is>
      </c>
      <c r="B21" s="19">
        <f>Underwriting!B63</f>
        <v/>
      </c>
    </row>
    <row r="22">
      <c r="A22" s="13" t="inlineStr">
        <is>
          <t>Going-in Cap Rate</t>
        </is>
      </c>
      <c r="B22" s="19">
        <f>Underwriting!B61</f>
        <v/>
      </c>
    </row>
    <row r="23">
      <c r="A23" s="13" t="inlineStr">
        <is>
          <t>Total Profit</t>
        </is>
      </c>
      <c r="B23" s="16">
        <f>SUM(C13:L13)+SUM(C14:L14)+B15</f>
        <v/>
      </c>
      <c r="C23" s="7" t="inlineStr">
        <is>
          <t>all cash flows incl. equity out</t>
        </is>
      </c>
    </row>
  </sheetData>
  <mergeCells count="2">
    <mergeCell ref="A17:D17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2026-06-26T17:17:48Z</dcterms:created>
  <dcterms:modified xsi:type="dcterms:W3CDTF">2026-06-26T17:17:48Z</dcterms:modified>
</cp:coreProperties>
</file>