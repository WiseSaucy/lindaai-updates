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eal Summary" sheetId="2" state="visible" r:id="rId2"/>
    <sheet name="Underwriting" sheetId="3" state="visible" r:id="rId3"/>
    <sheet name="Income Detail" sheetId="4" state="visible" r:id="rId4"/>
    <sheet name="Actuals vs Pro Forma" sheetId="5" state="visible" r:id="rId5"/>
    <sheet name="Pro Forma &amp; Returns" sheetId="6" state="visible" r:id="rId6"/>
    <sheet name="Sensitivity" sheetId="7" state="visible" r:id="rId7"/>
    <sheet name="Loan Sizing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0.0%"/>
    <numFmt numFmtId="166" formatCode="0.00&quot;x&quot;"/>
    <numFmt numFmtId="167" formatCode="0.0000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F4E78"/>
      <sz val="11"/>
    </font>
    <font>
      <name val="Calibri"/>
      <sz val="11"/>
    </font>
    <font>
      <b val="1"/>
      <color rgb="001F4E78"/>
      <sz val="13"/>
    </font>
    <font>
      <name val="Calibri"/>
      <b val="1"/>
      <color rgb="001F4E78"/>
      <sz val="20"/>
    </font>
    <font>
      <sz val="11"/>
    </font>
    <font>
      <b val="1"/>
      <color rgb="001F4E78"/>
      <sz val="12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/>
    </xf>
    <xf numFmtId="0" fontId="3" fillId="3" borderId="0" applyAlignment="1" pivotButton="0" quotePrefix="0" xfId="0">
      <alignment horizontal="left" vertical="center" indent="1"/>
    </xf>
    <xf numFmtId="0" fontId="4" fillId="0" borderId="0" pivotButton="0" quotePrefix="0" xfId="0"/>
    <xf numFmtId="3" fontId="4" fillId="0" borderId="0" applyAlignment="1" pivotButton="0" quotePrefix="0" xfId="0">
      <alignment horizontal="right"/>
    </xf>
    <xf numFmtId="164" fontId="4" fillId="0" borderId="0" applyAlignment="1" pivotButton="0" quotePrefix="0" xfId="0">
      <alignment horizontal="right"/>
    </xf>
    <xf numFmtId="10" fontId="4" fillId="0" borderId="0" applyAlignment="1" pivotButton="0" quotePrefix="0" xfId="0">
      <alignment horizontal="right"/>
    </xf>
    <xf numFmtId="0" fontId="4" fillId="6" borderId="0" pivotButton="0" quotePrefix="0" xfId="0"/>
    <xf numFmtId="165" fontId="8" fillId="6" borderId="0" applyAlignment="1" pivotButton="0" quotePrefix="0" xfId="0">
      <alignment horizontal="right"/>
    </xf>
    <xf numFmtId="166" fontId="8" fillId="6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0" fontId="2" fillId="0" borderId="0" pivotButton="0" quotePrefix="0" xfId="0"/>
    <xf numFmtId="0" fontId="6" fillId="0" borderId="0" pivotButton="0" quotePrefix="0" xfId="0"/>
    <xf numFmtId="0" fontId="5" fillId="4" borderId="1" pivotButton="0" quotePrefix="0" xfId="0"/>
    <xf numFmtId="3" fontId="5" fillId="4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49" fontId="5" fillId="4" borderId="1" applyAlignment="1" pivotButton="0" quotePrefix="0" xfId="0">
      <alignment horizontal="right"/>
    </xf>
    <xf numFmtId="164" fontId="4" fillId="5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64" fontId="4" fillId="6" borderId="0" applyAlignment="1" pivotButton="0" quotePrefix="0" xfId="0">
      <alignment horizontal="right"/>
    </xf>
    <xf numFmtId="10" fontId="5" fillId="4" borderId="1" applyAlignment="1" pivotButton="0" quotePrefix="0" xfId="0">
      <alignment horizontal="right"/>
    </xf>
    <xf numFmtId="165" fontId="4" fillId="6" borderId="0" applyAlignment="1" pivotButton="0" quotePrefix="0" xfId="0">
      <alignment horizontal="right"/>
    </xf>
    <xf numFmtId="166" fontId="4" fillId="6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3" fontId="6" fillId="0" borderId="0" applyAlignment="1" pivotButton="0" quotePrefix="0" xfId="0">
      <alignment horizontal="right"/>
    </xf>
    <xf numFmtId="0" fontId="3" fillId="3" borderId="0" applyAlignment="1" pivotButton="0" quotePrefix="0" xfId="0">
      <alignment horizontal="center"/>
    </xf>
    <xf numFmtId="0" fontId="3" fillId="3" borderId="0" pivotButton="0" quotePrefix="0" xfId="0"/>
    <xf numFmtId="164" fontId="6" fillId="5" borderId="0" applyAlignment="1" pivotButton="0" quotePrefix="0" xfId="0">
      <alignment horizontal="right"/>
    </xf>
    <xf numFmtId="0" fontId="4" fillId="5" borderId="0" applyAlignment="1" pivotButton="0" quotePrefix="0" xfId="0">
      <alignment horizontal="center"/>
    </xf>
    <xf numFmtId="10" fontId="4" fillId="5" borderId="0" applyAlignment="1" pivotButton="0" quotePrefix="0" xfId="0">
      <alignment horizontal="center"/>
    </xf>
    <xf numFmtId="165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5" fontId="4" fillId="5" borderId="0" applyAlignment="1" pivotButton="0" quotePrefix="0" xfId="0">
      <alignment horizontal="center"/>
    </xf>
    <xf numFmtId="166" fontId="5" fillId="4" borderId="1" applyAlignment="1" pivotButton="0" quotePrefix="0" xfId="0">
      <alignment horizontal="right"/>
    </xf>
    <xf numFmtId="10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 ht="26" customHeight="1">
      <c r="A1" s="1" t="inlineStr">
        <is>
          <t>RV PARK UNDERWRITING — HOW TO USE</t>
        </is>
      </c>
    </row>
    <row r="2">
      <c r="A2" s="2" t="inlineStr"/>
    </row>
    <row r="3">
      <c r="A3" s="3" t="inlineStr">
        <is>
          <t>WHAT THIS IS</t>
        </is>
      </c>
    </row>
    <row r="4">
      <c r="A4" s="2" t="inlineStr">
        <is>
          <t>A deal-screening model for buying RV parks. Plug in a property's numbers and it returns the cap rate,</t>
        </is>
      </c>
    </row>
    <row r="5">
      <c r="A5" s="2" t="inlineStr">
        <is>
          <t>cash flow, cash-on-cash, DSCR, debt yield, and a 5-10 year IRR so you can decide fast if a deal works.</t>
        </is>
      </c>
    </row>
    <row r="6">
      <c r="A6" s="2" t="inlineStr"/>
    </row>
    <row r="7">
      <c r="A7" s="2" t="inlineStr">
        <is>
          <t>THE TABS (left to right)</t>
        </is>
      </c>
    </row>
    <row r="8">
      <c r="A8" s="2" t="inlineStr">
        <is>
          <t xml:space="preserve">  • Deal Summary  — one-page headline view; print/screenshot this for lenders &amp; partners.</t>
        </is>
      </c>
    </row>
    <row r="9">
      <c r="A9" s="2" t="inlineStr">
        <is>
          <t xml:space="preserve">  • Underwriting  — the engine. Fill the YELLOW cells; everything else is a formula.</t>
        </is>
      </c>
    </row>
    <row r="10">
      <c r="A10" s="2" t="inlineStr">
        <is>
          <t xml:space="preserve">  • Income Detail — optional. Build income from your site mix (long-term + seasonal nightly).</t>
        </is>
      </c>
    </row>
    <row r="11">
      <c r="A11" s="2" t="inlineStr">
        <is>
          <t xml:space="preserve">  • Actuals vs Pro Forma — seller's CURRENT numbers vs your stabilized plan, side by side.</t>
        </is>
      </c>
    </row>
    <row r="12">
      <c r="A12" s="2" t="inlineStr">
        <is>
          <t xml:space="preserve">  • Pro Forma &amp; Returns — 10-year projection, sale reversion, IRR &amp; equity multiple.</t>
        </is>
      </c>
    </row>
    <row r="13">
      <c r="A13" s="2" t="inlineStr">
        <is>
          <t xml:space="preserve">  • Sensitivity   — how Cash-on-Cash &amp; DSCR move with price, interest rate, rent &amp; vacancy.</t>
        </is>
      </c>
    </row>
    <row r="14">
      <c r="A14" s="2" t="inlineStr">
        <is>
          <t xml:space="preserve">  • Loan Sizing   — max purchase price the NOI supports at your target DSCR / debt yield.</t>
        </is>
      </c>
    </row>
    <row r="15">
      <c r="A15" s="2" t="inlineStr"/>
    </row>
    <row r="16">
      <c r="A16" s="3" t="inlineStr">
        <is>
          <t>HOW TO USE IT</t>
        </is>
      </c>
    </row>
    <row r="17">
      <c r="A17" s="2" t="inlineStr">
        <is>
          <t>1. Start on 'Underwriting'. Fill every yellow cell from the seller's P&amp;L and rent roll.</t>
        </is>
      </c>
    </row>
    <row r="18">
      <c r="A18" s="2" t="inlineStr">
        <is>
          <t>2. (Optional) Use 'Income Detail' for a seasonal park, then set 'Use Detailed Income Build? = Y'.</t>
        </is>
      </c>
    </row>
    <row r="19">
      <c r="A19" s="2" t="inlineStr">
        <is>
          <t>3. Put the seller's CURRENT numbers into the left column of 'Actuals vs Pro Forma' to see the gap.</t>
        </is>
      </c>
    </row>
    <row r="20">
      <c r="A20" s="2" t="inlineStr">
        <is>
          <t>4. Read the headline numbers on 'Deal Summary'; stress-test on 'Sensitivity'.</t>
        </is>
      </c>
    </row>
    <row r="21">
      <c r="A21" s="2" t="inlineStr"/>
    </row>
    <row r="22">
      <c r="A22" s="2" t="inlineStr">
        <is>
          <t>RULES OF THUMB (screening, not gospel)</t>
        </is>
      </c>
    </row>
    <row r="23">
      <c r="A23" s="2" t="inlineStr">
        <is>
          <t xml:space="preserve">  • Cap rate: 8%+ is typical for RV parks; lower means you're paying up.</t>
        </is>
      </c>
    </row>
    <row r="24">
      <c r="A24" s="2" t="inlineStr">
        <is>
          <t xml:space="preserve">  • DSCR: lenders want 1.25x+. Below 1.20x is a financing risk.</t>
        </is>
      </c>
    </row>
    <row r="25">
      <c r="A25" s="2" t="inlineStr">
        <is>
          <t xml:space="preserve">  • Cash-on-Cash: 8-12%+ in year one is a healthy target.</t>
        </is>
      </c>
    </row>
    <row r="26">
      <c r="A26" s="2" t="inlineStr">
        <is>
          <t xml:space="preserve">  • Expense ratio: 35-50% of EGI is normal; under 30% usually means expenses are understated.</t>
        </is>
      </c>
    </row>
    <row r="27">
      <c r="A27" s="2" t="inlineStr">
        <is>
          <t xml:space="preserve">  • Set your Exit Cap 0.5-1.0% HIGHER than the going-in cap to stay conservative.</t>
        </is>
      </c>
    </row>
    <row r="28">
      <c r="A28" s="2" t="inlineStr"/>
    </row>
    <row r="29">
      <c r="A29" s="3" t="inlineStr">
        <is>
          <t>RV-PARK-SPECIFIC WATCH-OUTS</t>
        </is>
      </c>
    </row>
    <row r="30">
      <c r="A30" s="2" t="inlineStr">
        <is>
          <t xml:space="preserve">  • Transient/nightly income is seasonal and far less stable than annual/monthly tenants.</t>
        </is>
      </c>
    </row>
    <row r="31">
      <c r="A31" s="2" t="inlineStr">
        <is>
          <t xml:space="preserve">  • Utility metering — are sites individually metered, or is the owner eating utilities?</t>
        </is>
      </c>
    </row>
    <row r="32">
      <c r="A32" s="2" t="inlineStr">
        <is>
          <t xml:space="preserve">  • Infrastructure age — septic/sewer, electric pedestals (30/50 amp), water lines = big CapEx.</t>
        </is>
      </c>
    </row>
    <row r="33">
      <c r="A33" s="2" t="inlineStr">
        <is>
          <t xml:space="preserve">  • Flood zone, seasonal closures, and % of park-owned rentals vs. tenant-owned rigs.</t>
        </is>
      </c>
    </row>
    <row r="34">
      <c r="A34" s="2" t="inlineStr">
        <is>
          <t xml:space="preserve">  • Property taxes usually RESET on sale — don't trust the seller's current tax line.</t>
        </is>
      </c>
    </row>
    <row r="35">
      <c r="A35" s="2" t="inlineStr"/>
    </row>
    <row r="36">
      <c r="A36" s="2" t="inlineStr">
        <is>
          <t>This is a screening tool, not investment advice. Verify every number and consult professionals.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0" customWidth="1" min="3" max="3"/>
    <col width="22" customWidth="1" min="4" max="4"/>
  </cols>
  <sheetData>
    <row r="1" ht="26" customHeight="1">
      <c r="A1" s="4" t="inlineStr">
        <is>
          <t>DEAL SUMMARY</t>
        </is>
      </c>
    </row>
    <row r="2">
      <c r="A2" s="5">
        <f>Underwriting!B3&amp;"  —  "&amp;Underwriting!B4</f>
        <v/>
      </c>
    </row>
    <row r="4" ht="20" customHeight="1">
      <c r="A4" s="6" t="inlineStr">
        <is>
          <t>THE ASSET</t>
        </is>
      </c>
    </row>
    <row r="5">
      <c r="A5" s="7" t="inlineStr">
        <is>
          <t>Number of Sites</t>
        </is>
      </c>
      <c r="B5" s="8">
        <f>Underwriting!B8</f>
        <v/>
      </c>
      <c r="C5" s="7" t="inlineStr">
        <is>
          <t>Purchase Price</t>
        </is>
      </c>
      <c r="D5" s="9">
        <f>Underwriting!B9</f>
        <v/>
      </c>
    </row>
    <row r="6">
      <c r="A6" s="7" t="inlineStr">
        <is>
          <t>Price per Site</t>
        </is>
      </c>
      <c r="B6" s="9">
        <f>Underwriting!B9/Underwriting!B8</f>
        <v/>
      </c>
      <c r="C6" s="7" t="inlineStr">
        <is>
          <t>Year-1 NOI</t>
        </is>
      </c>
      <c r="D6" s="9">
        <f>Underwriting!B40</f>
        <v/>
      </c>
    </row>
    <row r="8" ht="20" customHeight="1">
      <c r="A8" s="6" t="inlineStr">
        <is>
          <t>FINANCING</t>
        </is>
      </c>
    </row>
    <row r="9">
      <c r="A9" s="7" t="inlineStr">
        <is>
          <t>Loan Amount</t>
        </is>
      </c>
      <c r="B9" s="9">
        <f>Underwriting!B54</f>
        <v/>
      </c>
      <c r="C9" s="7" t="inlineStr">
        <is>
          <t>Down Payment (Equity)</t>
        </is>
      </c>
      <c r="D9" s="9">
        <f>Underwriting!B55</f>
        <v/>
      </c>
    </row>
    <row r="10">
      <c r="A10" s="7" t="inlineStr">
        <is>
          <t>Interest Rate</t>
        </is>
      </c>
      <c r="B10" s="10">
        <f>Underwriting!B45</f>
        <v/>
      </c>
      <c r="C10" s="7" t="inlineStr">
        <is>
          <t>Amortization (yrs)</t>
        </is>
      </c>
      <c r="D10" s="8">
        <f>Underwriting!B46</f>
        <v/>
      </c>
    </row>
    <row r="11">
      <c r="A11" s="7" t="inlineStr">
        <is>
          <t>Annual Debt Service</t>
        </is>
      </c>
      <c r="B11" s="9">
        <f>Underwriting!B59</f>
        <v/>
      </c>
      <c r="C11" s="7" t="inlineStr">
        <is>
          <t>Total Cash Required</t>
        </is>
      </c>
      <c r="D11" s="9">
        <f>Underwriting!B57</f>
        <v/>
      </c>
    </row>
    <row r="13" ht="20" customHeight="1">
      <c r="A13" s="6" t="inlineStr">
        <is>
          <t>RETURNS — THE HEADLINE NUMBERS</t>
        </is>
      </c>
    </row>
    <row r="14">
      <c r="A14" s="11" t="inlineStr">
        <is>
          <t>Going-in Cap Rate</t>
        </is>
      </c>
      <c r="B14" s="12">
        <f>Underwriting!B62</f>
        <v/>
      </c>
      <c r="C14" s="11" t="inlineStr">
        <is>
          <t>DSCR</t>
        </is>
      </c>
      <c r="D14" s="13">
        <f>Underwriting!B65</f>
        <v/>
      </c>
    </row>
    <row r="16">
      <c r="A16" s="11" t="inlineStr">
        <is>
          <t>Cash-on-Cash (Yr 1)</t>
        </is>
      </c>
      <c r="B16" s="12">
        <f>Underwriting!B64</f>
        <v/>
      </c>
      <c r="C16" s="11" t="inlineStr">
        <is>
          <t>Debt Yield</t>
        </is>
      </c>
      <c r="D16" s="12">
        <f>Underwriting!B40/Underwriting!B54</f>
        <v/>
      </c>
    </row>
    <row r="18">
      <c r="A18" s="11" t="inlineStr">
        <is>
          <t>Levered IRR</t>
        </is>
      </c>
      <c r="B18" s="12">
        <f>'Pro Forma &amp; Returns'!B18</f>
        <v/>
      </c>
      <c r="C18" s="11" t="inlineStr">
        <is>
          <t>Equity Multiple</t>
        </is>
      </c>
      <c r="D18" s="13">
        <f>'Pro Forma &amp; Returns'!B19</f>
        <v/>
      </c>
    </row>
    <row r="20" ht="20" customHeight="1">
      <c r="A20" s="6" t="inlineStr">
        <is>
          <t>EXIT ASSUMPTIONS</t>
        </is>
      </c>
    </row>
    <row r="21">
      <c r="A21" s="7" t="inlineStr">
        <is>
          <t>Hold Period (yrs)</t>
        </is>
      </c>
      <c r="B21" s="8">
        <f>Underwriting!B49</f>
        <v/>
      </c>
      <c r="C21" s="7" t="inlineStr">
        <is>
          <t>Exit Cap Rate</t>
        </is>
      </c>
      <c r="D21" s="10">
        <f>Underwriting!B50</f>
        <v/>
      </c>
    </row>
    <row r="22">
      <c r="A22" s="7" t="inlineStr">
        <is>
          <t>Annual Rent Growth</t>
        </is>
      </c>
      <c r="B22" s="14">
        <f>Underwriting!B16</f>
        <v/>
      </c>
      <c r="C22" s="7" t="inlineStr">
        <is>
          <t>Annual Expense Growth</t>
        </is>
      </c>
      <c r="D22" s="14">
        <f>Underwriting!B17</f>
        <v/>
      </c>
    </row>
    <row r="24">
      <c r="A24" s="15" t="inlineStr">
        <is>
          <t>Screening tool only — not investment advice. Verify every figure against the seller's T-12 and rent roll.</t>
        </is>
      </c>
    </row>
  </sheetData>
  <mergeCells count="7">
    <mergeCell ref="A1:D1"/>
    <mergeCell ref="A8:D8"/>
    <mergeCell ref="A4:D4"/>
    <mergeCell ref="A20:D20"/>
    <mergeCell ref="A24:D24"/>
    <mergeCell ref="A2:D2"/>
    <mergeCell ref="A13:D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32" customWidth="1" min="3" max="3"/>
  </cols>
  <sheetData>
    <row r="1" ht="26" customHeight="1">
      <c r="A1" s="4" t="inlineStr">
        <is>
          <t>RV PARK UNDERWRITING ANALYSIS</t>
        </is>
      </c>
    </row>
    <row r="3">
      <c r="A3" s="16" t="inlineStr">
        <is>
          <t>Property Name</t>
        </is>
      </c>
      <c r="B3" s="17" t="inlineStr">
        <is>
          <t>Enter property name</t>
        </is>
      </c>
      <c r="C3" s="15" t="inlineStr">
        <is>
          <t>Yellow cells = your inputs. Everything else calculates.</t>
        </is>
      </c>
    </row>
    <row r="4">
      <c r="A4" s="16" t="inlineStr">
        <is>
          <t>Location (City, ST)</t>
        </is>
      </c>
      <c r="B4" s="17" t="inlineStr">
        <is>
          <t>City, ST</t>
        </is>
      </c>
    </row>
    <row r="5">
      <c r="A5" s="16" t="inlineStr">
        <is>
          <t>Analysis Date</t>
        </is>
      </c>
      <c r="B5" s="17" t="inlineStr">
        <is>
          <t>2026-06-26</t>
        </is>
      </c>
    </row>
    <row r="7" ht="20" customHeight="1">
      <c r="A7" s="6" t="inlineStr">
        <is>
          <t>DEAL ASSUMPTIONS</t>
        </is>
      </c>
    </row>
    <row r="8">
      <c r="A8" s="16" t="inlineStr">
        <is>
          <t>Number of RV Sites (pads)</t>
        </is>
      </c>
      <c r="B8" s="18" t="n">
        <v>50</v>
      </c>
      <c r="C8" s="15" t="inlineStr">
        <is>
          <t>total rentable pads</t>
        </is>
      </c>
    </row>
    <row r="9">
      <c r="A9" s="16" t="inlineStr">
        <is>
          <t>Purchase Price</t>
        </is>
      </c>
      <c r="B9" s="19" t="n">
        <v>1500000</v>
      </c>
    </row>
    <row r="10">
      <c r="A10" s="16" t="inlineStr">
        <is>
          <t xml:space="preserve">  Price per Site</t>
        </is>
      </c>
      <c r="B10" s="20">
        <f>B9/B8</f>
        <v/>
      </c>
      <c r="C10" s="15" t="inlineStr">
        <is>
          <t>purchase price / sites</t>
        </is>
      </c>
    </row>
    <row r="11">
      <c r="A11" s="16" t="inlineStr">
        <is>
          <t>Avg. Monthly Rent per Site</t>
        </is>
      </c>
      <c r="B11" s="19" t="n">
        <v>450</v>
      </c>
      <c r="C11" s="15" t="inlineStr">
        <is>
          <t>blended lot rent / month</t>
        </is>
      </c>
    </row>
    <row r="12">
      <c r="A12" s="16" t="inlineStr">
        <is>
          <t>Vacancy &amp; Credit Loss %</t>
        </is>
      </c>
      <c r="B12" s="21" t="n">
        <v>0.15</v>
      </c>
      <c r="C12" s="15" t="inlineStr">
        <is>
          <t>economic vacancy</t>
        </is>
      </c>
    </row>
    <row r="13">
      <c r="A13" s="16" t="inlineStr">
        <is>
          <t>Other Income (monthly)</t>
        </is>
      </c>
      <c r="B13" s="19" t="n">
        <v>1500</v>
      </c>
      <c r="C13" s="15" t="inlineStr">
        <is>
          <t>store, laundry, propane, fees</t>
        </is>
      </c>
    </row>
    <row r="14">
      <c r="A14" s="16" t="inlineStr">
        <is>
          <t>Management Fee (% of EGI)</t>
        </is>
      </c>
      <c r="B14" s="21" t="n">
        <v>0.08</v>
      </c>
      <c r="C14" s="15" t="inlineStr">
        <is>
          <t>3rd-party or self-mgmt</t>
        </is>
      </c>
    </row>
    <row r="15">
      <c r="A15" s="16" t="inlineStr">
        <is>
          <t>Replacement Reserves / site / yr</t>
        </is>
      </c>
      <c r="B15" s="19" t="n">
        <v>100</v>
      </c>
      <c r="C15" s="15" t="inlineStr">
        <is>
          <t>capital reserve</t>
        </is>
      </c>
    </row>
    <row r="16">
      <c r="A16" s="16" t="inlineStr">
        <is>
          <t>Annual Rent Growth %</t>
        </is>
      </c>
      <c r="B16" s="21" t="n">
        <v>0.03</v>
      </c>
      <c r="C16" s="15" t="inlineStr">
        <is>
          <t>for multi-year projection</t>
        </is>
      </c>
    </row>
    <row r="17">
      <c r="A17" s="16" t="inlineStr">
        <is>
          <t>Annual Expense Growth %</t>
        </is>
      </c>
      <c r="B17" s="21" t="n">
        <v>0.025</v>
      </c>
      <c r="C17" s="15" t="inlineStr">
        <is>
          <t>for multi-year projection</t>
        </is>
      </c>
    </row>
    <row r="18">
      <c r="A18" s="16" t="inlineStr">
        <is>
          <t>Use Detailed Income Build? (Y/N)</t>
        </is>
      </c>
      <c r="B18" s="22" t="inlineStr">
        <is>
          <t>N</t>
        </is>
      </c>
      <c r="C18" s="15" t="inlineStr">
        <is>
          <t>Y = pull GPR from Income Detail tab</t>
        </is>
      </c>
    </row>
    <row r="20" ht="20" customHeight="1">
      <c r="A20" s="6" t="inlineStr">
        <is>
          <t>INCOME  (Year 1 Stabilized Pro Forma)</t>
        </is>
      </c>
    </row>
    <row r="21">
      <c r="A21" s="16" t="inlineStr">
        <is>
          <t>Gross Potential Rent (GPR)</t>
        </is>
      </c>
      <c r="B21" s="20">
        <f>IF(B18="Y",'Income Detail'!E30,B8*B11*12)</f>
        <v/>
      </c>
      <c r="C21" s="15" t="inlineStr">
        <is>
          <t>auto: site mix or sites x rent</t>
        </is>
      </c>
    </row>
    <row r="22">
      <c r="A22" s="16" t="inlineStr">
        <is>
          <t>Less: Vacancy &amp; Credit Loss</t>
        </is>
      </c>
      <c r="B22" s="20">
        <f>-B21*B12</f>
        <v/>
      </c>
    </row>
    <row r="23">
      <c r="A23" s="16" t="inlineStr">
        <is>
          <t>Plus: Other Income</t>
        </is>
      </c>
      <c r="B23" s="20">
        <f>B13*12</f>
        <v/>
      </c>
    </row>
    <row r="24">
      <c r="A24" s="7" t="inlineStr">
        <is>
          <t>Effective Gross Income (EGI)</t>
        </is>
      </c>
      <c r="B24" s="23">
        <f>B21+B22+B23</f>
        <v/>
      </c>
    </row>
    <row r="26" ht="20" customHeight="1">
      <c r="A26" s="6" t="inlineStr">
        <is>
          <t>OPERATING EXPENSES  (Year 1)</t>
        </is>
      </c>
    </row>
    <row r="27">
      <c r="A27" s="16" t="inlineStr">
        <is>
          <t>Property Taxes</t>
        </is>
      </c>
      <c r="B27" s="19" t="n">
        <v>18000</v>
      </c>
    </row>
    <row r="28">
      <c r="A28" s="16" t="inlineStr">
        <is>
          <t>Insurance</t>
        </is>
      </c>
      <c r="B28" s="19" t="n">
        <v>9000</v>
      </c>
    </row>
    <row r="29">
      <c r="A29" s="16" t="inlineStr">
        <is>
          <t>Utilities (water/sewer/trash/elec)</t>
        </is>
      </c>
      <c r="B29" s="19" t="n">
        <v>36000</v>
      </c>
      <c r="C29" s="15" t="inlineStr">
        <is>
          <t>owner-paid portion</t>
        </is>
      </c>
    </row>
    <row r="30">
      <c r="A30" s="16" t="inlineStr">
        <is>
          <t>Repairs &amp; Maintenance</t>
        </is>
      </c>
      <c r="B30" s="19" t="n">
        <v>15000</v>
      </c>
    </row>
    <row r="31">
      <c r="A31" s="16" t="inlineStr">
        <is>
          <t>Payroll / Onsite Manager</t>
        </is>
      </c>
      <c r="B31" s="19" t="n">
        <v>24000</v>
      </c>
    </row>
    <row r="32">
      <c r="A32" s="16" t="inlineStr">
        <is>
          <t>Marketing, Admin, Office</t>
        </is>
      </c>
      <c r="B32" s="19" t="n">
        <v>8000</v>
      </c>
    </row>
    <row r="33">
      <c r="A33" s="16" t="inlineStr">
        <is>
          <t>Management Fee</t>
        </is>
      </c>
      <c r="B33" s="20">
        <f>B14*B24</f>
        <v/>
      </c>
      <c r="C33" s="15">
        <f> mgmt % x EGI</f>
        <v/>
      </c>
    </row>
    <row r="34">
      <c r="A34" s="16" t="inlineStr">
        <is>
          <t>Replacement Reserves</t>
        </is>
      </c>
      <c r="B34" s="20">
        <f>B15*B8</f>
        <v/>
      </c>
    </row>
    <row r="35">
      <c r="A35" s="7" t="inlineStr">
        <is>
          <t>Total Operating Expenses</t>
        </is>
      </c>
      <c r="B35" s="23">
        <f>SUM(B27:B34)</f>
        <v/>
      </c>
    </row>
    <row r="36">
      <c r="A36" s="16" t="inlineStr">
        <is>
          <t>Operating Expense Ratio</t>
        </is>
      </c>
      <c r="B36" s="24">
        <f>B35/B24</f>
        <v/>
      </c>
      <c r="C36" s="15" t="inlineStr">
        <is>
          <t>OpEx / EGI</t>
        </is>
      </c>
    </row>
    <row r="37">
      <c r="A37" s="16" t="inlineStr">
        <is>
          <t>Expenses per Site</t>
        </is>
      </c>
      <c r="B37" s="20">
        <f>B35/B8</f>
        <v/>
      </c>
    </row>
    <row r="39" ht="20" customHeight="1">
      <c r="A39" s="6" t="inlineStr">
        <is>
          <t>NET OPERATING INCOME</t>
        </is>
      </c>
    </row>
    <row r="40">
      <c r="A40" s="7" t="inlineStr">
        <is>
          <t>Net Operating Income (NOI)</t>
        </is>
      </c>
      <c r="B40" s="25">
        <f>B24-B35</f>
        <v/>
      </c>
    </row>
    <row r="41">
      <c r="A41" s="16" t="inlineStr">
        <is>
          <t>NOI per Site</t>
        </is>
      </c>
      <c r="B41" s="20">
        <f>B40/B8</f>
        <v/>
      </c>
    </row>
    <row r="43" ht="20" customHeight="1">
      <c r="A43" s="6" t="inlineStr">
        <is>
          <t>FINANCING &amp; EXIT ASSUMPTIONS</t>
        </is>
      </c>
    </row>
    <row r="44">
      <c r="A44" s="16" t="inlineStr">
        <is>
          <t>Loan-to-Value (LTV) %</t>
        </is>
      </c>
      <c r="B44" s="21" t="n">
        <v>0.7</v>
      </c>
    </row>
    <row r="45">
      <c r="A45" s="16" t="inlineStr">
        <is>
          <t>Interest Rate %</t>
        </is>
      </c>
      <c r="B45" s="26" t="n">
        <v>0.07000000000000001</v>
      </c>
      <c r="C45" s="15" t="inlineStr">
        <is>
          <t>annual</t>
        </is>
      </c>
    </row>
    <row r="46">
      <c r="A46" s="16" t="inlineStr">
        <is>
          <t>Amortization (years)</t>
        </is>
      </c>
      <c r="B46" s="18" t="n">
        <v>25</v>
      </c>
    </row>
    <row r="47">
      <c r="A47" s="16" t="inlineStr">
        <is>
          <t>Closing Costs %</t>
        </is>
      </c>
      <c r="B47" s="21" t="n">
        <v>0.03</v>
      </c>
      <c r="C47" s="15" t="inlineStr">
        <is>
          <t>of purchase price</t>
        </is>
      </c>
    </row>
    <row r="48">
      <c r="A48" s="16" t="inlineStr">
        <is>
          <t>Initial CapEx / Rehab</t>
        </is>
      </c>
      <c r="B48" s="19" t="n">
        <v>50000</v>
      </c>
      <c r="C48" s="15" t="inlineStr">
        <is>
          <t>day-one improvements</t>
        </is>
      </c>
    </row>
    <row r="49">
      <c r="A49" s="16" t="inlineStr">
        <is>
          <t>Hold Period (years)</t>
        </is>
      </c>
      <c r="B49" s="18" t="n">
        <v>5</v>
      </c>
      <c r="C49" s="15" t="inlineStr">
        <is>
          <t>1-10</t>
        </is>
      </c>
    </row>
    <row r="50">
      <c r="A50" s="16" t="inlineStr">
        <is>
          <t>Exit Cap Rate %</t>
        </is>
      </c>
      <c r="B50" s="26" t="n">
        <v>0.08500000000000001</v>
      </c>
      <c r="C50" s="15" t="inlineStr">
        <is>
          <t>for sale value</t>
        </is>
      </c>
    </row>
    <row r="51">
      <c r="A51" s="16" t="inlineStr">
        <is>
          <t>Selling Costs %</t>
        </is>
      </c>
      <c r="B51" s="21" t="n">
        <v>0.05</v>
      </c>
      <c r="C51" s="15" t="inlineStr">
        <is>
          <t>of sale price</t>
        </is>
      </c>
    </row>
    <row r="53" ht="20" customHeight="1">
      <c r="A53" s="6" t="inlineStr">
        <is>
          <t>DEBT &amp; EQUITY</t>
        </is>
      </c>
    </row>
    <row r="54">
      <c r="A54" s="16" t="inlineStr">
        <is>
          <t>Loan Amount</t>
        </is>
      </c>
      <c r="B54" s="20">
        <f>B9*B44</f>
        <v/>
      </c>
    </row>
    <row r="55">
      <c r="A55" s="16" t="inlineStr">
        <is>
          <t>Down Payment (Equity)</t>
        </is>
      </c>
      <c r="B55" s="20">
        <f>B9-B54</f>
        <v/>
      </c>
    </row>
    <row r="56">
      <c r="A56" s="16" t="inlineStr">
        <is>
          <t>Closing Costs</t>
        </is>
      </c>
      <c r="B56" s="20">
        <f>B9*B47</f>
        <v/>
      </c>
    </row>
    <row r="57">
      <c r="A57" s="7" t="inlineStr">
        <is>
          <t>Total Cash Required</t>
        </is>
      </c>
      <c r="B57" s="23">
        <f>B55+B56+B48</f>
        <v/>
      </c>
    </row>
    <row r="58">
      <c r="A58" s="16" t="inlineStr">
        <is>
          <t>Monthly Debt Payment</t>
        </is>
      </c>
      <c r="B58" s="20">
        <f>PMT(B45/12,B46*12,-B54)</f>
        <v/>
      </c>
    </row>
    <row r="59">
      <c r="A59" s="7" t="inlineStr">
        <is>
          <t>Annual Debt Service</t>
        </is>
      </c>
      <c r="B59" s="9">
        <f>B58*12</f>
        <v/>
      </c>
    </row>
    <row r="61" ht="20" customHeight="1">
      <c r="A61" s="6" t="inlineStr">
        <is>
          <t>KEY RETURN METRICS  (Year 1)</t>
        </is>
      </c>
    </row>
    <row r="62">
      <c r="A62" s="7" t="inlineStr">
        <is>
          <t>Going-in Cap Rate</t>
        </is>
      </c>
      <c r="B62" s="27">
        <f>B40/B9</f>
        <v/>
      </c>
      <c r="C62" s="15" t="inlineStr">
        <is>
          <t>NOI / Price</t>
        </is>
      </c>
    </row>
    <row r="63">
      <c r="A63" s="7" t="inlineStr">
        <is>
          <t>Cash Flow Before Tax (CFBT)</t>
        </is>
      </c>
      <c r="B63" s="25">
        <f>B40-B59</f>
        <v/>
      </c>
    </row>
    <row r="64">
      <c r="A64" s="7" t="inlineStr">
        <is>
          <t>Cash-on-Cash Return</t>
        </is>
      </c>
      <c r="B64" s="27">
        <f>B63/B57</f>
        <v/>
      </c>
      <c r="C64" s="15" t="inlineStr">
        <is>
          <t>CFBT / cash invested</t>
        </is>
      </c>
    </row>
    <row r="65">
      <c r="A65" s="7" t="inlineStr">
        <is>
          <t>Debt Service Coverage (DSCR)</t>
        </is>
      </c>
      <c r="B65" s="28">
        <f>B40/B59</f>
        <v/>
      </c>
      <c r="C65" s="15" t="inlineStr">
        <is>
          <t>lenders want &gt;= 1.25x</t>
        </is>
      </c>
    </row>
    <row r="66">
      <c r="A66" s="16" t="inlineStr">
        <is>
          <t>Gross Rent Multiplier (GRM)</t>
        </is>
      </c>
      <c r="B66" s="29">
        <f>B9/B21</f>
        <v/>
      </c>
    </row>
    <row r="67">
      <c r="A67" s="16" t="inlineStr">
        <is>
          <t>Break-even Occupancy</t>
        </is>
      </c>
      <c r="B67" s="24">
        <f>(B35+B59)/(B21+B23)</f>
        <v/>
      </c>
      <c r="C67" s="15" t="inlineStr">
        <is>
          <t>occupancy to cover costs</t>
        </is>
      </c>
    </row>
    <row r="68">
      <c r="A68" s="16" t="inlineStr">
        <is>
          <t>Debt Yield</t>
        </is>
      </c>
      <c r="B68" s="24">
        <f>B40/B54</f>
        <v/>
      </c>
      <c r="C68" s="15" t="inlineStr">
        <is>
          <t>NOI / loan (lender metric)</t>
        </is>
      </c>
    </row>
  </sheetData>
  <mergeCells count="8">
    <mergeCell ref="A1:C1"/>
    <mergeCell ref="A43:C43"/>
    <mergeCell ref="A61:C61"/>
    <mergeCell ref="A39:C39"/>
    <mergeCell ref="A53:C53"/>
    <mergeCell ref="A26:C26"/>
    <mergeCell ref="A7:C7"/>
    <mergeCell ref="A20:C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6" customHeight="1">
      <c r="A1" s="4" t="inlineStr">
        <is>
          <t>INCOME DETAIL — SITE MIX &amp; SEASONALITY</t>
        </is>
      </c>
    </row>
    <row r="2">
      <c r="A2" s="15" t="inlineStr">
        <is>
          <t>Optional. Build income from your actual site mix, then set 'Use Detailed Income Build?' = Y on the Underwriting tab.</t>
        </is>
      </c>
    </row>
    <row r="4" ht="20" customHeight="1">
      <c r="A4" s="6" t="inlineStr">
        <is>
          <t>LONG-TERM TENANTS (MONTHLY / ANNUAL LEASES)</t>
        </is>
      </c>
    </row>
    <row r="5">
      <c r="A5" s="7" t="inlineStr">
        <is>
          <t>Tier</t>
        </is>
      </c>
      <c r="B5" s="7" t="inlineStr">
        <is>
          <t># Sites</t>
        </is>
      </c>
      <c r="C5" s="7" t="inlineStr">
        <is>
          <t>Monthly Rate</t>
        </is>
      </c>
      <c r="D5" s="7" t="inlineStr">
        <is>
          <t>Occupancy %</t>
        </is>
      </c>
      <c r="E5" s="7" t="inlineStr">
        <is>
          <t>Annual Revenue</t>
        </is>
      </c>
    </row>
    <row r="6">
      <c r="A6" t="inlineStr">
        <is>
          <t>Monthly tenants</t>
        </is>
      </c>
      <c r="B6" s="18" t="n">
        <v>30</v>
      </c>
      <c r="C6" s="19" t="n">
        <v>450</v>
      </c>
      <c r="D6" s="21" t="n">
        <v>0.95</v>
      </c>
      <c r="E6" s="20">
        <f>B6*C6*12*D6</f>
        <v/>
      </c>
    </row>
    <row r="7">
      <c r="A7" t="inlineStr">
        <is>
          <t>Annual / seasonal leases</t>
        </is>
      </c>
      <c r="B7" s="18" t="n">
        <v>8</v>
      </c>
      <c r="C7" s="19" t="n">
        <v>400</v>
      </c>
      <c r="D7" s="21" t="n">
        <v>0.9</v>
      </c>
      <c r="E7" s="20">
        <f>B7*C7*12*D7</f>
        <v/>
      </c>
    </row>
    <row r="8">
      <c r="A8" s="7" t="inlineStr">
        <is>
          <t>Subtotal — long-term</t>
        </is>
      </c>
      <c r="B8" s="8">
        <f>SUM(B6:B7)</f>
        <v/>
      </c>
      <c r="E8" s="23">
        <f>SUM(E6:E7)</f>
        <v/>
      </c>
    </row>
    <row r="10" ht="20" customHeight="1">
      <c r="A10" s="6" t="inlineStr">
        <is>
          <t>TRANSIENT / NIGHTLY SITES (SEASONAL)</t>
        </is>
      </c>
    </row>
    <row r="11">
      <c r="A11" t="inlineStr">
        <is>
          <t># Transient sites</t>
        </is>
      </c>
      <c r="B11" s="18" t="n">
        <v>12</v>
      </c>
    </row>
    <row r="12">
      <c r="A12" t="inlineStr">
        <is>
          <t>Avg nightly rate</t>
        </is>
      </c>
      <c r="B12" s="19" t="n">
        <v>55</v>
      </c>
    </row>
    <row r="14">
      <c r="A14" s="7" t="inlineStr">
        <is>
          <t>Month</t>
        </is>
      </c>
      <c r="B14" s="7" t="inlineStr">
        <is>
          <t>Days</t>
        </is>
      </c>
      <c r="C14" s="7" t="inlineStr">
        <is>
          <t>Occupancy %</t>
        </is>
      </c>
      <c r="D14" s="7" t="inlineStr">
        <is>
          <t>Revenue</t>
        </is>
      </c>
    </row>
    <row r="15">
      <c r="A15" s="16" t="inlineStr">
        <is>
          <t>Jan</t>
        </is>
      </c>
      <c r="B15" s="30" t="n">
        <v>31</v>
      </c>
      <c r="C15" s="21" t="n">
        <v>0.3</v>
      </c>
      <c r="D15" s="20">
        <f>$B$11*$B$12*B15*C15</f>
        <v/>
      </c>
    </row>
    <row r="16">
      <c r="A16" s="16" t="inlineStr">
        <is>
          <t>Feb</t>
        </is>
      </c>
      <c r="B16" s="30" t="n">
        <v>28</v>
      </c>
      <c r="C16" s="21" t="n">
        <v>0.3</v>
      </c>
      <c r="D16" s="20">
        <f>$B$11*$B$12*B16*C16</f>
        <v/>
      </c>
    </row>
    <row r="17">
      <c r="A17" s="16" t="inlineStr">
        <is>
          <t>Mar</t>
        </is>
      </c>
      <c r="B17" s="30" t="n">
        <v>31</v>
      </c>
      <c r="C17" s="21" t="n">
        <v>0.45</v>
      </c>
      <c r="D17" s="20">
        <f>$B$11*$B$12*B17*C17</f>
        <v/>
      </c>
    </row>
    <row r="18">
      <c r="A18" s="16" t="inlineStr">
        <is>
          <t>Apr</t>
        </is>
      </c>
      <c r="B18" s="30" t="n">
        <v>30</v>
      </c>
      <c r="C18" s="21" t="n">
        <v>0.55</v>
      </c>
      <c r="D18" s="20">
        <f>$B$11*$B$12*B18*C18</f>
        <v/>
      </c>
    </row>
    <row r="19">
      <c r="A19" s="16" t="inlineStr">
        <is>
          <t>May</t>
        </is>
      </c>
      <c r="B19" s="30" t="n">
        <v>31</v>
      </c>
      <c r="C19" s="21" t="n">
        <v>0.7</v>
      </c>
      <c r="D19" s="20">
        <f>$B$11*$B$12*B19*C19</f>
        <v/>
      </c>
    </row>
    <row r="20">
      <c r="A20" s="16" t="inlineStr">
        <is>
          <t>Jun</t>
        </is>
      </c>
      <c r="B20" s="30" t="n">
        <v>30</v>
      </c>
      <c r="C20" s="21" t="n">
        <v>0.85</v>
      </c>
      <c r="D20" s="20">
        <f>$B$11*$B$12*B20*C20</f>
        <v/>
      </c>
    </row>
    <row r="21">
      <c r="A21" s="16" t="inlineStr">
        <is>
          <t>Jul</t>
        </is>
      </c>
      <c r="B21" s="30" t="n">
        <v>31</v>
      </c>
      <c r="C21" s="21" t="n">
        <v>0.95</v>
      </c>
      <c r="D21" s="20">
        <f>$B$11*$B$12*B21*C21</f>
        <v/>
      </c>
    </row>
    <row r="22">
      <c r="A22" s="16" t="inlineStr">
        <is>
          <t>Aug</t>
        </is>
      </c>
      <c r="B22" s="30" t="n">
        <v>31</v>
      </c>
      <c r="C22" s="21" t="n">
        <v>0.95</v>
      </c>
      <c r="D22" s="20">
        <f>$B$11*$B$12*B22*C22</f>
        <v/>
      </c>
    </row>
    <row r="23">
      <c r="A23" s="16" t="inlineStr">
        <is>
          <t>Sep</t>
        </is>
      </c>
      <c r="B23" s="30" t="n">
        <v>30</v>
      </c>
      <c r="C23" s="21" t="n">
        <v>0.75</v>
      </c>
      <c r="D23" s="20">
        <f>$B$11*$B$12*B23*C23</f>
        <v/>
      </c>
    </row>
    <row r="24">
      <c r="A24" s="16" t="inlineStr">
        <is>
          <t>Oct</t>
        </is>
      </c>
      <c r="B24" s="30" t="n">
        <v>31</v>
      </c>
      <c r="C24" s="21" t="n">
        <v>0.55</v>
      </c>
      <c r="D24" s="20">
        <f>$B$11*$B$12*B24*C24</f>
        <v/>
      </c>
    </row>
    <row r="25">
      <c r="A25" s="16" t="inlineStr">
        <is>
          <t>Nov</t>
        </is>
      </c>
      <c r="B25" s="30" t="n">
        <v>30</v>
      </c>
      <c r="C25" s="21" t="n">
        <v>0.35</v>
      </c>
      <c r="D25" s="20">
        <f>$B$11*$B$12*B25*C25</f>
        <v/>
      </c>
    </row>
    <row r="26">
      <c r="A26" s="16" t="inlineStr">
        <is>
          <t>Dec</t>
        </is>
      </c>
      <c r="B26" s="30" t="n">
        <v>31</v>
      </c>
      <c r="C26" s="21" t="n">
        <v>0.3</v>
      </c>
      <c r="D26" s="20">
        <f>$B$11*$B$12*B26*C26</f>
        <v/>
      </c>
    </row>
    <row r="27">
      <c r="A27" s="7" t="inlineStr">
        <is>
          <t>Subtotal — transient</t>
        </is>
      </c>
      <c r="D27" s="23">
        <f>SUM(D15:D26)</f>
        <v/>
      </c>
    </row>
    <row r="28">
      <c r="A28" s="16" t="inlineStr">
        <is>
          <t>Avg transient occupancy</t>
        </is>
      </c>
      <c r="C28" s="24">
        <f>SUMPRODUCT(B15:B26,C15:C26)/SUM(B15:B26)</f>
        <v/>
      </c>
    </row>
    <row r="29" ht="20" customHeight="1">
      <c r="A29" s="6" t="inlineStr">
        <is>
          <t>TOTAL POTENTIAL ANNUAL SITE REVENUE</t>
        </is>
      </c>
    </row>
    <row r="30">
      <c r="A30" s="7" t="inlineStr">
        <is>
          <t>Total Potential Annual Site Revenue</t>
        </is>
      </c>
      <c r="E30" s="25">
        <f>E8+D27</f>
        <v/>
      </c>
    </row>
    <row r="31">
      <c r="A31" t="inlineStr">
        <is>
          <t>Total sites in build</t>
        </is>
      </c>
      <c r="E31" s="31">
        <f>B8+B11</f>
        <v/>
      </c>
    </row>
    <row r="32">
      <c r="A32" t="inlineStr">
        <is>
          <t>Implied blended monthly rent / site</t>
        </is>
      </c>
      <c r="E32" s="20">
        <f>E30/E31/12</f>
        <v/>
      </c>
    </row>
    <row r="33">
      <c r="A33" s="15" t="inlineStr">
        <is>
          <t>Note: when Use Detailed Income Build = Y, keep the Underwriting Vacancy % low (credit loss only) — occupancy is already in this build.</t>
        </is>
      </c>
    </row>
  </sheetData>
  <mergeCells count="4">
    <mergeCell ref="A29:E29"/>
    <mergeCell ref="A1:E1"/>
    <mergeCell ref="A4:E4"/>
    <mergeCell ref="A10:E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</cols>
  <sheetData>
    <row r="1" ht="26" customHeight="1">
      <c r="A1" s="4" t="inlineStr">
        <is>
          <t>IN-PLACE ACTUALS  vs  STABILIZED PRO FORMA</t>
        </is>
      </c>
    </row>
    <row r="2">
      <c r="A2" s="15" t="inlineStr">
        <is>
          <t>Left column = what the seller is doing TODAY (from their T-12 P&amp;L). Right = your stabilized plan (pulled from Underwriting). The gap is your value-add.</t>
        </is>
      </c>
    </row>
    <row r="4">
      <c r="A4" s="32" t="inlineStr">
        <is>
          <t>Line Item</t>
        </is>
      </c>
      <c r="B4" s="32" t="inlineStr">
        <is>
          <t>In-Place / Actuals</t>
        </is>
      </c>
      <c r="C4" s="32" t="inlineStr">
        <is>
          <t>Stabilized Pro Forma</t>
        </is>
      </c>
      <c r="D4" s="32" t="inlineStr">
        <is>
          <t>Variance</t>
        </is>
      </c>
    </row>
    <row r="5">
      <c r="A5" s="16" t="inlineStr">
        <is>
          <t>Gross Potential Rent</t>
        </is>
      </c>
      <c r="B5" s="19" t="n">
        <v>240000</v>
      </c>
      <c r="C5" s="20">
        <f>Underwriting!B21</f>
        <v/>
      </c>
      <c r="D5" s="20">
        <f>C5-B5</f>
        <v/>
      </c>
    </row>
    <row r="6">
      <c r="A6" s="16" t="inlineStr">
        <is>
          <t>Vacancy &amp; Credit Loss</t>
        </is>
      </c>
      <c r="B6" s="19" t="n">
        <v>-48000</v>
      </c>
      <c r="C6" s="20">
        <f>Underwriting!B22</f>
        <v/>
      </c>
      <c r="D6" s="20">
        <f>C6-B6</f>
        <v/>
      </c>
    </row>
    <row r="7">
      <c r="A7" s="16" t="inlineStr">
        <is>
          <t>Other Income</t>
        </is>
      </c>
      <c r="B7" s="19" t="n">
        <v>12000</v>
      </c>
      <c r="C7" s="20">
        <f>Underwriting!B23</f>
        <v/>
      </c>
      <c r="D7" s="20">
        <f>C7-B7</f>
        <v/>
      </c>
    </row>
    <row r="8">
      <c r="A8" s="7" t="inlineStr">
        <is>
          <t>Effective Gross Income</t>
        </is>
      </c>
      <c r="B8" s="23">
        <f>B5+B6+B7</f>
        <v/>
      </c>
      <c r="C8" s="23">
        <f>Underwriting!B24</f>
        <v/>
      </c>
      <c r="D8" s="20">
        <f>C8-B8</f>
        <v/>
      </c>
    </row>
    <row r="9">
      <c r="A9" s="16" t="inlineStr">
        <is>
          <t>Property Taxes</t>
        </is>
      </c>
      <c r="B9" s="19" t="n">
        <v>12000</v>
      </c>
      <c r="C9" s="20">
        <f>Underwriting!B27</f>
        <v/>
      </c>
      <c r="D9" s="20">
        <f>C9-B9</f>
        <v/>
      </c>
    </row>
    <row r="10">
      <c r="A10" s="16" t="inlineStr">
        <is>
          <t>Insurance</t>
        </is>
      </c>
      <c r="B10" s="19" t="n">
        <v>8000</v>
      </c>
      <c r="C10" s="20">
        <f>Underwriting!B28</f>
        <v/>
      </c>
      <c r="D10" s="20">
        <f>C10-B10</f>
        <v/>
      </c>
    </row>
    <row r="11">
      <c r="A11" s="16" t="inlineStr">
        <is>
          <t>Utilities</t>
        </is>
      </c>
      <c r="B11" s="19" t="n">
        <v>38000</v>
      </c>
      <c r="C11" s="20">
        <f>Underwriting!B29</f>
        <v/>
      </c>
      <c r="D11" s="20">
        <f>C11-B11</f>
        <v/>
      </c>
    </row>
    <row r="12">
      <c r="A12" s="16" t="inlineStr">
        <is>
          <t>Repairs &amp; Maintenance</t>
        </is>
      </c>
      <c r="B12" s="19" t="n">
        <v>20000</v>
      </c>
      <c r="C12" s="20">
        <f>Underwriting!B30</f>
        <v/>
      </c>
      <c r="D12" s="20">
        <f>C12-B12</f>
        <v/>
      </c>
    </row>
    <row r="13">
      <c r="A13" s="16" t="inlineStr">
        <is>
          <t>Payroll / Onsite Mgr</t>
        </is>
      </c>
      <c r="B13" s="19" t="n">
        <v>20000</v>
      </c>
      <c r="C13" s="20">
        <f>Underwriting!B31</f>
        <v/>
      </c>
      <c r="D13" s="20">
        <f>C13-B13</f>
        <v/>
      </c>
    </row>
    <row r="14">
      <c r="A14" s="16" t="inlineStr">
        <is>
          <t>Marketing, Admin, Office</t>
        </is>
      </c>
      <c r="B14" s="19" t="n">
        <v>6000</v>
      </c>
      <c r="C14" s="20">
        <f>Underwriting!B32</f>
        <v/>
      </c>
      <c r="D14" s="20">
        <f>C14-B14</f>
        <v/>
      </c>
    </row>
    <row r="15">
      <c r="A15" s="16" t="inlineStr">
        <is>
          <t>Management Fee</t>
        </is>
      </c>
      <c r="B15" s="19" t="n">
        <v>0</v>
      </c>
      <c r="C15" s="20">
        <f>Underwriting!B33</f>
        <v/>
      </c>
      <c r="D15" s="20">
        <f>C15-B15</f>
        <v/>
      </c>
    </row>
    <row r="16">
      <c r="A16" s="16" t="inlineStr">
        <is>
          <t>Replacement Reserves</t>
        </is>
      </c>
      <c r="B16" s="19" t="n">
        <v>0</v>
      </c>
      <c r="C16" s="20">
        <f>Underwriting!B34</f>
        <v/>
      </c>
      <c r="D16" s="20">
        <f>C16-B16</f>
        <v/>
      </c>
    </row>
    <row r="17">
      <c r="A17" s="7" t="inlineStr">
        <is>
          <t>Total Operating Expenses</t>
        </is>
      </c>
      <c r="B17" s="23">
        <f>SUM(B9:B16)</f>
        <v/>
      </c>
      <c r="C17" s="23">
        <f>Underwriting!B35</f>
        <v/>
      </c>
      <c r="D17" s="20">
        <f>C17-B17</f>
        <v/>
      </c>
    </row>
    <row r="18">
      <c r="A18" s="7" t="inlineStr">
        <is>
          <t>Net Operating Income</t>
        </is>
      </c>
      <c r="B18" s="25">
        <f>B8-B17</f>
        <v/>
      </c>
      <c r="C18" s="25">
        <f>Underwriting!B40</f>
        <v/>
      </c>
      <c r="D18" s="20">
        <f>C18-B18</f>
        <v/>
      </c>
    </row>
    <row r="20">
      <c r="A20" s="7" t="inlineStr">
        <is>
          <t>Cap Rate at Purchase Price</t>
        </is>
      </c>
      <c r="B20" s="27">
        <f>B18/Underwriting!B9</f>
        <v/>
      </c>
      <c r="C20" s="27">
        <f>Underwriting!B62</f>
        <v/>
      </c>
    </row>
    <row r="22">
      <c r="A22" s="15" t="inlineStr">
        <is>
          <t>In-place cap rate = what you're actually buying today. Underwrite to this first, the pro forma second.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6" customHeight="1">
      <c r="A1" s="4" t="inlineStr">
        <is>
          <t>10-YEAR PRO FORMA &amp; RETURNS</t>
        </is>
      </c>
    </row>
    <row r="3">
      <c r="A3" s="33" t="inlineStr">
        <is>
          <t>Year</t>
        </is>
      </c>
      <c r="B3" s="32" t="n">
        <v>0</v>
      </c>
      <c r="C3" s="32" t="n">
        <v>1</v>
      </c>
      <c r="D3" s="32" t="n">
        <v>2</v>
      </c>
      <c r="E3" s="32" t="n">
        <v>3</v>
      </c>
      <c r="F3" s="32" t="n">
        <v>4</v>
      </c>
      <c r="G3" s="32" t="n">
        <v>5</v>
      </c>
      <c r="H3" s="32" t="n">
        <v>6</v>
      </c>
      <c r="I3" s="32" t="n">
        <v>7</v>
      </c>
      <c r="J3" s="32" t="n">
        <v>8</v>
      </c>
      <c r="K3" s="32" t="n">
        <v>9</v>
      </c>
      <c r="L3" s="32" t="n">
        <v>10</v>
      </c>
    </row>
    <row r="5">
      <c r="A5" s="16" t="inlineStr">
        <is>
          <t>Gross Potential Rent</t>
        </is>
      </c>
      <c r="C5" s="20">
        <f>Underwriting!B21*(1+Underwriting!B16)^0</f>
        <v/>
      </c>
      <c r="D5" s="20">
        <f>Underwriting!B21*(1+Underwriting!B16)^1</f>
        <v/>
      </c>
      <c r="E5" s="20">
        <f>Underwriting!B21*(1+Underwriting!B16)^2</f>
        <v/>
      </c>
      <c r="F5" s="20">
        <f>Underwriting!B21*(1+Underwriting!B16)^3</f>
        <v/>
      </c>
      <c r="G5" s="20">
        <f>Underwriting!B21*(1+Underwriting!B16)^4</f>
        <v/>
      </c>
      <c r="H5" s="20">
        <f>Underwriting!B21*(1+Underwriting!B16)^5</f>
        <v/>
      </c>
      <c r="I5" s="20">
        <f>Underwriting!B21*(1+Underwriting!B16)^6</f>
        <v/>
      </c>
      <c r="J5" s="20">
        <f>Underwriting!B21*(1+Underwriting!B16)^7</f>
        <v/>
      </c>
      <c r="K5" s="20">
        <f>Underwriting!B21*(1+Underwriting!B16)^8</f>
        <v/>
      </c>
      <c r="L5" s="20">
        <f>Underwriting!B21*(1+Underwriting!B16)^9</f>
        <v/>
      </c>
    </row>
    <row r="6">
      <c r="A6" s="16" t="inlineStr">
        <is>
          <t>Less: Vacancy &amp; Credit Loss</t>
        </is>
      </c>
      <c r="C6" s="20">
        <f>-C5*Underwriting!B12</f>
        <v/>
      </c>
      <c r="D6" s="20">
        <f>-D5*Underwriting!B12</f>
        <v/>
      </c>
      <c r="E6" s="20">
        <f>-E5*Underwriting!B12</f>
        <v/>
      </c>
      <c r="F6" s="20">
        <f>-F5*Underwriting!B12</f>
        <v/>
      </c>
      <c r="G6" s="20">
        <f>-G5*Underwriting!B12</f>
        <v/>
      </c>
      <c r="H6" s="20">
        <f>-H5*Underwriting!B12</f>
        <v/>
      </c>
      <c r="I6" s="20">
        <f>-I5*Underwriting!B12</f>
        <v/>
      </c>
      <c r="J6" s="20">
        <f>-J5*Underwriting!B12</f>
        <v/>
      </c>
      <c r="K6" s="20">
        <f>-K5*Underwriting!B12</f>
        <v/>
      </c>
      <c r="L6" s="20">
        <f>-L5*Underwriting!B12</f>
        <v/>
      </c>
    </row>
    <row r="7">
      <c r="A7" s="16" t="inlineStr">
        <is>
          <t>Other Income</t>
        </is>
      </c>
      <c r="C7" s="20">
        <f>Underwriting!B23*(1+Underwriting!B16)^0</f>
        <v/>
      </c>
      <c r="D7" s="20">
        <f>Underwriting!B23*(1+Underwriting!B16)^1</f>
        <v/>
      </c>
      <c r="E7" s="20">
        <f>Underwriting!B23*(1+Underwriting!B16)^2</f>
        <v/>
      </c>
      <c r="F7" s="20">
        <f>Underwriting!B23*(1+Underwriting!B16)^3</f>
        <v/>
      </c>
      <c r="G7" s="20">
        <f>Underwriting!B23*(1+Underwriting!B16)^4</f>
        <v/>
      </c>
      <c r="H7" s="20">
        <f>Underwriting!B23*(1+Underwriting!B16)^5</f>
        <v/>
      </c>
      <c r="I7" s="20">
        <f>Underwriting!B23*(1+Underwriting!B16)^6</f>
        <v/>
      </c>
      <c r="J7" s="20">
        <f>Underwriting!B23*(1+Underwriting!B16)^7</f>
        <v/>
      </c>
      <c r="K7" s="20">
        <f>Underwriting!B23*(1+Underwriting!B16)^8</f>
        <v/>
      </c>
      <c r="L7" s="20">
        <f>Underwriting!B23*(1+Underwriting!B16)^9</f>
        <v/>
      </c>
    </row>
    <row r="8">
      <c r="A8" s="7" t="inlineStr">
        <is>
          <t>Effective Gross Income</t>
        </is>
      </c>
      <c r="C8" s="23">
        <f>C5+C6+C7</f>
        <v/>
      </c>
      <c r="D8" s="23">
        <f>D5+D6+D7</f>
        <v/>
      </c>
      <c r="E8" s="23">
        <f>E5+E6+E7</f>
        <v/>
      </c>
      <c r="F8" s="23">
        <f>F5+F6+F7</f>
        <v/>
      </c>
      <c r="G8" s="23">
        <f>G5+G6+G7</f>
        <v/>
      </c>
      <c r="H8" s="23">
        <f>H5+H6+H7</f>
        <v/>
      </c>
      <c r="I8" s="23">
        <f>I5+I6+I7</f>
        <v/>
      </c>
      <c r="J8" s="23">
        <f>J5+J6+J7</f>
        <v/>
      </c>
      <c r="K8" s="23">
        <f>K5+K6+K7</f>
        <v/>
      </c>
      <c r="L8" s="23">
        <f>L5+L6+L7</f>
        <v/>
      </c>
    </row>
    <row r="9">
      <c r="A9" s="16" t="inlineStr">
        <is>
          <t>Operating Expenses</t>
        </is>
      </c>
      <c r="C9" s="20">
        <f>Underwriting!B35*(1+Underwriting!B17)^0</f>
        <v/>
      </c>
      <c r="D9" s="20">
        <f>Underwriting!B35*(1+Underwriting!B17)^1</f>
        <v/>
      </c>
      <c r="E9" s="20">
        <f>Underwriting!B35*(1+Underwriting!B17)^2</f>
        <v/>
      </c>
      <c r="F9" s="20">
        <f>Underwriting!B35*(1+Underwriting!B17)^3</f>
        <v/>
      </c>
      <c r="G9" s="20">
        <f>Underwriting!B35*(1+Underwriting!B17)^4</f>
        <v/>
      </c>
      <c r="H9" s="20">
        <f>Underwriting!B35*(1+Underwriting!B17)^5</f>
        <v/>
      </c>
      <c r="I9" s="20">
        <f>Underwriting!B35*(1+Underwriting!B17)^6</f>
        <v/>
      </c>
      <c r="J9" s="20">
        <f>Underwriting!B35*(1+Underwriting!B17)^7</f>
        <v/>
      </c>
      <c r="K9" s="20">
        <f>Underwriting!B35*(1+Underwriting!B17)^8</f>
        <v/>
      </c>
      <c r="L9" s="20">
        <f>Underwriting!B35*(1+Underwriting!B17)^9</f>
        <v/>
      </c>
    </row>
    <row r="10">
      <c r="A10" s="7" t="inlineStr">
        <is>
          <t>Net Operating Income</t>
        </is>
      </c>
      <c r="C10" s="25">
        <f>C8-C9</f>
        <v/>
      </c>
      <c r="D10" s="25">
        <f>D8-D9</f>
        <v/>
      </c>
      <c r="E10" s="25">
        <f>E8-E9</f>
        <v/>
      </c>
      <c r="F10" s="25">
        <f>F8-F9</f>
        <v/>
      </c>
      <c r="G10" s="25">
        <f>G8-G9</f>
        <v/>
      </c>
      <c r="H10" s="25">
        <f>H8-H9</f>
        <v/>
      </c>
      <c r="I10" s="25">
        <f>I8-I9</f>
        <v/>
      </c>
      <c r="J10" s="25">
        <f>J8-J9</f>
        <v/>
      </c>
      <c r="K10" s="25">
        <f>K8-K9</f>
        <v/>
      </c>
      <c r="L10" s="25">
        <f>L8-L9</f>
        <v/>
      </c>
    </row>
    <row r="11">
      <c r="A11" s="16" t="inlineStr">
        <is>
          <t>Annual Debt Service</t>
        </is>
      </c>
      <c r="C11" s="20">
        <f>IF(1&lt;=Underwriting!B49,Underwriting!B59,0)</f>
        <v/>
      </c>
      <c r="D11" s="20">
        <f>IF(2&lt;=Underwriting!B49,Underwriting!B59,0)</f>
        <v/>
      </c>
      <c r="E11" s="20">
        <f>IF(3&lt;=Underwriting!B49,Underwriting!B59,0)</f>
        <v/>
      </c>
      <c r="F11" s="20">
        <f>IF(4&lt;=Underwriting!B49,Underwriting!B59,0)</f>
        <v/>
      </c>
      <c r="G11" s="20">
        <f>IF(5&lt;=Underwriting!B49,Underwriting!B59,0)</f>
        <v/>
      </c>
      <c r="H11" s="20">
        <f>IF(6&lt;=Underwriting!B49,Underwriting!B59,0)</f>
        <v/>
      </c>
      <c r="I11" s="20">
        <f>IF(7&lt;=Underwriting!B49,Underwriting!B59,0)</f>
        <v/>
      </c>
      <c r="J11" s="20">
        <f>IF(8&lt;=Underwriting!B49,Underwriting!B59,0)</f>
        <v/>
      </c>
      <c r="K11" s="20">
        <f>IF(9&lt;=Underwriting!B49,Underwriting!B59,0)</f>
        <v/>
      </c>
      <c r="L11" s="20">
        <f>IF(10&lt;=Underwriting!B49,Underwriting!B59,0)</f>
        <v/>
      </c>
    </row>
    <row r="12">
      <c r="A12" s="16" t="inlineStr">
        <is>
          <t>Loan Balance (end of yr)</t>
        </is>
      </c>
      <c r="B12" s="20">
        <f>Underwriting!B54</f>
        <v/>
      </c>
      <c r="C12" s="20">
        <f>Underwriting!B54*(1+(Underwriting!B45/12))^(MIN(1,Underwriting!B46)*12)-Underwriting!B58*(((1+(Underwriting!B45/12))^(MIN(1,Underwriting!B46)*12)-1)/(Underwriting!B45/12))</f>
        <v/>
      </c>
      <c r="D12" s="20">
        <f>Underwriting!B54*(1+(Underwriting!B45/12))^(MIN(2,Underwriting!B46)*12)-Underwriting!B58*(((1+(Underwriting!B45/12))^(MIN(2,Underwriting!B46)*12)-1)/(Underwriting!B45/12))</f>
        <v/>
      </c>
      <c r="E12" s="20">
        <f>Underwriting!B54*(1+(Underwriting!B45/12))^(MIN(3,Underwriting!B46)*12)-Underwriting!B58*(((1+(Underwriting!B45/12))^(MIN(3,Underwriting!B46)*12)-1)/(Underwriting!B45/12))</f>
        <v/>
      </c>
      <c r="F12" s="20">
        <f>Underwriting!B54*(1+(Underwriting!B45/12))^(MIN(4,Underwriting!B46)*12)-Underwriting!B58*(((1+(Underwriting!B45/12))^(MIN(4,Underwriting!B46)*12)-1)/(Underwriting!B45/12))</f>
        <v/>
      </c>
      <c r="G12" s="20">
        <f>Underwriting!B54*(1+(Underwriting!B45/12))^(MIN(5,Underwriting!B46)*12)-Underwriting!B58*(((1+(Underwriting!B45/12))^(MIN(5,Underwriting!B46)*12)-1)/(Underwriting!B45/12))</f>
        <v/>
      </c>
      <c r="H12" s="20">
        <f>Underwriting!B54*(1+(Underwriting!B45/12))^(MIN(6,Underwriting!B46)*12)-Underwriting!B58*(((1+(Underwriting!B45/12))^(MIN(6,Underwriting!B46)*12)-1)/(Underwriting!B45/12))</f>
        <v/>
      </c>
      <c r="I12" s="20">
        <f>Underwriting!B54*(1+(Underwriting!B45/12))^(MIN(7,Underwriting!B46)*12)-Underwriting!B58*(((1+(Underwriting!B45/12))^(MIN(7,Underwriting!B46)*12)-1)/(Underwriting!B45/12))</f>
        <v/>
      </c>
      <c r="J12" s="20">
        <f>Underwriting!B54*(1+(Underwriting!B45/12))^(MIN(8,Underwriting!B46)*12)-Underwriting!B58*(((1+(Underwriting!B45/12))^(MIN(8,Underwriting!B46)*12)-1)/(Underwriting!B45/12))</f>
        <v/>
      </c>
      <c r="K12" s="20">
        <f>Underwriting!B54*(1+(Underwriting!B45/12))^(MIN(9,Underwriting!B46)*12)-Underwriting!B58*(((1+(Underwriting!B45/12))^(MIN(9,Underwriting!B46)*12)-1)/(Underwriting!B45/12))</f>
        <v/>
      </c>
      <c r="L12" s="20">
        <f>Underwriting!B54*(1+(Underwriting!B45/12))^(MIN(10,Underwriting!B46)*12)-Underwriting!B58*(((1+(Underwriting!B45/12))^(MIN(10,Underwriting!B46)*12)-1)/(Underwriting!B45/12))</f>
        <v/>
      </c>
    </row>
    <row r="13">
      <c r="A13" s="7" t="inlineStr">
        <is>
          <t>Operating Cash Flow</t>
        </is>
      </c>
      <c r="C13" s="9">
        <f>IF(1&lt;=Underwriting!B49,C10-C11,0)</f>
        <v/>
      </c>
      <c r="D13" s="9">
        <f>IF(2&lt;=Underwriting!B49,D10-D11,0)</f>
        <v/>
      </c>
      <c r="E13" s="9">
        <f>IF(3&lt;=Underwriting!B49,E10-E11,0)</f>
        <v/>
      </c>
      <c r="F13" s="9">
        <f>IF(4&lt;=Underwriting!B49,F10-F11,0)</f>
        <v/>
      </c>
      <c r="G13" s="9">
        <f>IF(5&lt;=Underwriting!B49,G10-G11,0)</f>
        <v/>
      </c>
      <c r="H13" s="9">
        <f>IF(6&lt;=Underwriting!B49,H10-H11,0)</f>
        <v/>
      </c>
      <c r="I13" s="9">
        <f>IF(7&lt;=Underwriting!B49,I10-I11,0)</f>
        <v/>
      </c>
      <c r="J13" s="9">
        <f>IF(8&lt;=Underwriting!B49,J10-J11,0)</f>
        <v/>
      </c>
      <c r="K13" s="9">
        <f>IF(9&lt;=Underwriting!B49,K10-K11,0)</f>
        <v/>
      </c>
      <c r="L13" s="9">
        <f>IF(10&lt;=Underwriting!B49,L10-L11,0)</f>
        <v/>
      </c>
    </row>
    <row r="14">
      <c r="A14" s="16" t="inlineStr">
        <is>
          <t>Net Sale Proceeds (reversion)</t>
        </is>
      </c>
      <c r="C14" s="34">
        <f>IF(1=Underwriting!B49,((C10*(1+Underwriting!B16))/Underwriting!B50)*(1-Underwriting!B51)-C12,0)</f>
        <v/>
      </c>
      <c r="D14" s="34">
        <f>IF(2=Underwriting!B49,((D10*(1+Underwriting!B16))/Underwriting!B50)*(1-Underwriting!B51)-D12,0)</f>
        <v/>
      </c>
      <c r="E14" s="34">
        <f>IF(3=Underwriting!B49,((E10*(1+Underwriting!B16))/Underwriting!B50)*(1-Underwriting!B51)-E12,0)</f>
        <v/>
      </c>
      <c r="F14" s="34">
        <f>IF(4=Underwriting!B49,((F10*(1+Underwriting!B16))/Underwriting!B50)*(1-Underwriting!B51)-F12,0)</f>
        <v/>
      </c>
      <c r="G14" s="34">
        <f>IF(5=Underwriting!B49,((G10*(1+Underwriting!B16))/Underwriting!B50)*(1-Underwriting!B51)-G12,0)</f>
        <v/>
      </c>
      <c r="H14" s="34">
        <f>IF(6=Underwriting!B49,((H10*(1+Underwriting!B16))/Underwriting!B50)*(1-Underwriting!B51)-H12,0)</f>
        <v/>
      </c>
      <c r="I14" s="34">
        <f>IF(7=Underwriting!B49,((I10*(1+Underwriting!B16))/Underwriting!B50)*(1-Underwriting!B51)-I12,0)</f>
        <v/>
      </c>
      <c r="J14" s="34">
        <f>IF(8=Underwriting!B49,((J10*(1+Underwriting!B16))/Underwriting!B50)*(1-Underwriting!B51)-J12,0)</f>
        <v/>
      </c>
      <c r="K14" s="34">
        <f>IF(9=Underwriting!B49,((K10*(1+Underwriting!B16))/Underwriting!B50)*(1-Underwriting!B51)-K12,0)</f>
        <v/>
      </c>
      <c r="L14" s="34">
        <f>IF(10=Underwriting!B49,((L10*(1+Underwriting!B16))/Underwriting!B50)*(1-Underwriting!B51)-L12,0)</f>
        <v/>
      </c>
    </row>
    <row r="15">
      <c r="A15" s="7" t="inlineStr">
        <is>
          <t>Total Cash Flow (for IRR)</t>
        </is>
      </c>
      <c r="B15" s="25">
        <f>-Underwriting!B57</f>
        <v/>
      </c>
      <c r="C15" s="25">
        <f>C13+C14</f>
        <v/>
      </c>
      <c r="D15" s="25">
        <f>D13+D14</f>
        <v/>
      </c>
      <c r="E15" s="25">
        <f>E13+E14</f>
        <v/>
      </c>
      <c r="F15" s="25">
        <f>F13+F14</f>
        <v/>
      </c>
      <c r="G15" s="25">
        <f>G13+G14</f>
        <v/>
      </c>
      <c r="H15" s="25">
        <f>H13+H14</f>
        <v/>
      </c>
      <c r="I15" s="25">
        <f>I13+I14</f>
        <v/>
      </c>
      <c r="J15" s="25">
        <f>J13+J14</f>
        <v/>
      </c>
      <c r="K15" s="25">
        <f>K13+K14</f>
        <v/>
      </c>
      <c r="L15" s="25">
        <f>L13+L14</f>
        <v/>
      </c>
    </row>
    <row r="17" ht="20" customHeight="1">
      <c r="A17" s="6" t="inlineStr">
        <is>
          <t>RETURN SUMMARY (over hold period)</t>
        </is>
      </c>
    </row>
    <row r="18">
      <c r="A18" s="7" t="inlineStr">
        <is>
          <t>Levered IRR</t>
        </is>
      </c>
      <c r="B18" s="27">
        <f>IRR(B15:L15)</f>
        <v/>
      </c>
      <c r="C18" s="15" t="inlineStr">
        <is>
          <t>internal rate of return on equity</t>
        </is>
      </c>
    </row>
    <row r="19">
      <c r="A19" s="7" t="inlineStr">
        <is>
          <t>Equity Multiple</t>
        </is>
      </c>
      <c r="B19" s="28">
        <f>(SUM(C13:L13)+SUM(C14:L14))/-B15</f>
        <v/>
      </c>
      <c r="C19" s="15" t="inlineStr">
        <is>
          <t>total cash returned / equity</t>
        </is>
      </c>
    </row>
    <row r="20">
      <c r="A20" s="7" t="inlineStr">
        <is>
          <t>Avg. Cash-on-Cash</t>
        </is>
      </c>
      <c r="B20" s="27">
        <f>AVERAGEIF(C11:L11,"&gt;0",C13:L13)/Underwriting!B57</f>
        <v/>
      </c>
      <c r="C20" s="15" t="inlineStr">
        <is>
          <t>avg operating CF / equity during hold</t>
        </is>
      </c>
    </row>
    <row r="21">
      <c r="A21" s="7" t="inlineStr">
        <is>
          <t>Year-1 Cash-on-Cash</t>
        </is>
      </c>
      <c r="B21" s="27">
        <f>Underwriting!B64</f>
        <v/>
      </c>
    </row>
    <row r="22">
      <c r="A22" s="7" t="inlineStr">
        <is>
          <t>Going-in Cap Rate</t>
        </is>
      </c>
      <c r="B22" s="27">
        <f>Underwriting!B62</f>
        <v/>
      </c>
    </row>
    <row r="23">
      <c r="A23" s="7" t="inlineStr">
        <is>
          <t>Total Profit</t>
        </is>
      </c>
      <c r="B23" s="25">
        <f>SUM(C13:L13)+SUM(C14:L14)+B15</f>
        <v/>
      </c>
      <c r="C23" s="15" t="inlineStr">
        <is>
          <t>all cash flows incl. equity out</t>
        </is>
      </c>
    </row>
  </sheetData>
  <mergeCells count="2">
    <mergeCell ref="A17:D17"/>
    <mergeCell ref="A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6" customHeight="1">
      <c r="A1" s="4" t="inlineStr">
        <is>
          <t>SENSITIVITY TABLES</t>
        </is>
      </c>
    </row>
    <row r="2">
      <c r="A2" s="15" t="inlineStr">
        <is>
          <t>Rows = purchase price scenarios. Columns = interest rate. Cells recompute live from Underwriting inputs.</t>
        </is>
      </c>
    </row>
    <row r="4" ht="20" customHeight="1">
      <c r="A4" s="6" t="inlineStr">
        <is>
          <t>CASH-ON-CASH RETURN  —  Price x Interest Rate</t>
        </is>
      </c>
    </row>
    <row r="5">
      <c r="A5" s="35" t="inlineStr">
        <is>
          <t>Price \ Rate</t>
        </is>
      </c>
      <c r="B5" s="36">
        <f>Underwriting!B45+-0.01</f>
        <v/>
      </c>
      <c r="C5" s="36">
        <f>Underwriting!B45+-0.005</f>
        <v/>
      </c>
      <c r="D5" s="36">
        <f>Underwriting!B45+0</f>
        <v/>
      </c>
      <c r="E5" s="36">
        <f>Underwriting!B45+0.005</f>
        <v/>
      </c>
      <c r="F5" s="36">
        <f>Underwriting!B45+0.01</f>
        <v/>
      </c>
    </row>
    <row r="6">
      <c r="A6" s="23">
        <f>Underwriting!B9*0.9</f>
        <v/>
      </c>
      <c r="B6" s="37">
        <f>(Underwriting!B40-((($A6*Underwriting!B44)*(B$5/12)/(1-(1+B$5/12)^(-Underwriting!B46*12)))*12))/($A6*(1-Underwriting!B44)+$A6*Underwriting!B47+Underwriting!B48)</f>
        <v/>
      </c>
      <c r="C6" s="37">
        <f>(Underwriting!B40-((($A6*Underwriting!B44)*(C$5/12)/(1-(1+C$5/12)^(-Underwriting!B46*12)))*12))/($A6*(1-Underwriting!B44)+$A6*Underwriting!B47+Underwriting!B48)</f>
        <v/>
      </c>
      <c r="D6" s="37">
        <f>(Underwriting!B40-((($A6*Underwriting!B44)*(D$5/12)/(1-(1+D$5/12)^(-Underwriting!B46*12)))*12))/($A6*(1-Underwriting!B44)+$A6*Underwriting!B47+Underwriting!B48)</f>
        <v/>
      </c>
      <c r="E6" s="37">
        <f>(Underwriting!B40-((($A6*Underwriting!B44)*(E$5/12)/(1-(1+E$5/12)^(-Underwriting!B46*12)))*12))/($A6*(1-Underwriting!B44)+$A6*Underwriting!B47+Underwriting!B48)</f>
        <v/>
      </c>
      <c r="F6" s="37">
        <f>(Underwriting!B40-((($A6*Underwriting!B44)*(F$5/12)/(1-(1+F$5/12)^(-Underwriting!B46*12)))*12))/($A6*(1-Underwriting!B44)+$A6*Underwriting!B47+Underwriting!B48)</f>
        <v/>
      </c>
    </row>
    <row r="7">
      <c r="A7" s="23">
        <f>Underwriting!B9*0.95</f>
        <v/>
      </c>
      <c r="B7" s="37">
        <f>(Underwriting!B40-((($A7*Underwriting!B44)*(B$5/12)/(1-(1+B$5/12)^(-Underwriting!B46*12)))*12))/($A7*(1-Underwriting!B44)+$A7*Underwriting!B47+Underwriting!B48)</f>
        <v/>
      </c>
      <c r="C7" s="37">
        <f>(Underwriting!B40-((($A7*Underwriting!B44)*(C$5/12)/(1-(1+C$5/12)^(-Underwriting!B46*12)))*12))/($A7*(1-Underwriting!B44)+$A7*Underwriting!B47+Underwriting!B48)</f>
        <v/>
      </c>
      <c r="D7" s="37">
        <f>(Underwriting!B40-((($A7*Underwriting!B44)*(D$5/12)/(1-(1+D$5/12)^(-Underwriting!B46*12)))*12))/($A7*(1-Underwriting!B44)+$A7*Underwriting!B47+Underwriting!B48)</f>
        <v/>
      </c>
      <c r="E7" s="37">
        <f>(Underwriting!B40-((($A7*Underwriting!B44)*(E$5/12)/(1-(1+E$5/12)^(-Underwriting!B46*12)))*12))/($A7*(1-Underwriting!B44)+$A7*Underwriting!B47+Underwriting!B48)</f>
        <v/>
      </c>
      <c r="F7" s="37">
        <f>(Underwriting!B40-((($A7*Underwriting!B44)*(F$5/12)/(1-(1+F$5/12)^(-Underwriting!B46*12)))*12))/($A7*(1-Underwriting!B44)+$A7*Underwriting!B47+Underwriting!B48)</f>
        <v/>
      </c>
    </row>
    <row r="8">
      <c r="A8" s="23">
        <f>Underwriting!B9*1.0</f>
        <v/>
      </c>
      <c r="B8" s="37">
        <f>(Underwriting!B40-((($A8*Underwriting!B44)*(B$5/12)/(1-(1+B$5/12)^(-Underwriting!B46*12)))*12))/($A8*(1-Underwriting!B44)+$A8*Underwriting!B47+Underwriting!B48)</f>
        <v/>
      </c>
      <c r="C8" s="37">
        <f>(Underwriting!B40-((($A8*Underwriting!B44)*(C$5/12)/(1-(1+C$5/12)^(-Underwriting!B46*12)))*12))/($A8*(1-Underwriting!B44)+$A8*Underwriting!B47+Underwriting!B48)</f>
        <v/>
      </c>
      <c r="D8" s="37">
        <f>(Underwriting!B40-((($A8*Underwriting!B44)*(D$5/12)/(1-(1+D$5/12)^(-Underwriting!B46*12)))*12))/($A8*(1-Underwriting!B44)+$A8*Underwriting!B47+Underwriting!B48)</f>
        <v/>
      </c>
      <c r="E8" s="37">
        <f>(Underwriting!B40-((($A8*Underwriting!B44)*(E$5/12)/(1-(1+E$5/12)^(-Underwriting!B46*12)))*12))/($A8*(1-Underwriting!B44)+$A8*Underwriting!B47+Underwriting!B48)</f>
        <v/>
      </c>
      <c r="F8" s="37">
        <f>(Underwriting!B40-((($A8*Underwriting!B44)*(F$5/12)/(1-(1+F$5/12)^(-Underwriting!B46*12)))*12))/($A8*(1-Underwriting!B44)+$A8*Underwriting!B47+Underwriting!B48)</f>
        <v/>
      </c>
    </row>
    <row r="9">
      <c r="A9" s="23">
        <f>Underwriting!B9*1.05</f>
        <v/>
      </c>
      <c r="B9" s="37">
        <f>(Underwriting!B40-((($A9*Underwriting!B44)*(B$5/12)/(1-(1+B$5/12)^(-Underwriting!B46*12)))*12))/($A9*(1-Underwriting!B44)+$A9*Underwriting!B47+Underwriting!B48)</f>
        <v/>
      </c>
      <c r="C9" s="37">
        <f>(Underwriting!B40-((($A9*Underwriting!B44)*(C$5/12)/(1-(1+C$5/12)^(-Underwriting!B46*12)))*12))/($A9*(1-Underwriting!B44)+$A9*Underwriting!B47+Underwriting!B48)</f>
        <v/>
      </c>
      <c r="D9" s="37">
        <f>(Underwriting!B40-((($A9*Underwriting!B44)*(D$5/12)/(1-(1+D$5/12)^(-Underwriting!B46*12)))*12))/($A9*(1-Underwriting!B44)+$A9*Underwriting!B47+Underwriting!B48)</f>
        <v/>
      </c>
      <c r="E9" s="37">
        <f>(Underwriting!B40-((($A9*Underwriting!B44)*(E$5/12)/(1-(1+E$5/12)^(-Underwriting!B46*12)))*12))/($A9*(1-Underwriting!B44)+$A9*Underwriting!B47+Underwriting!B48)</f>
        <v/>
      </c>
      <c r="F9" s="37">
        <f>(Underwriting!B40-((($A9*Underwriting!B44)*(F$5/12)/(1-(1+F$5/12)^(-Underwriting!B46*12)))*12))/($A9*(1-Underwriting!B44)+$A9*Underwriting!B47+Underwriting!B48)</f>
        <v/>
      </c>
    </row>
    <row r="10">
      <c r="A10" s="23">
        <f>Underwriting!B9*1.1</f>
        <v/>
      </c>
      <c r="B10" s="37">
        <f>(Underwriting!B40-((($A10*Underwriting!B44)*(B$5/12)/(1-(1+B$5/12)^(-Underwriting!B46*12)))*12))/($A10*(1-Underwriting!B44)+$A10*Underwriting!B47+Underwriting!B48)</f>
        <v/>
      </c>
      <c r="C10" s="37">
        <f>(Underwriting!B40-((($A10*Underwriting!B44)*(C$5/12)/(1-(1+C$5/12)^(-Underwriting!B46*12)))*12))/($A10*(1-Underwriting!B44)+$A10*Underwriting!B47+Underwriting!B48)</f>
        <v/>
      </c>
      <c r="D10" s="37">
        <f>(Underwriting!B40-((($A10*Underwriting!B44)*(D$5/12)/(1-(1+D$5/12)^(-Underwriting!B46*12)))*12))/($A10*(1-Underwriting!B44)+$A10*Underwriting!B47+Underwriting!B48)</f>
        <v/>
      </c>
      <c r="E10" s="37">
        <f>(Underwriting!B40-((($A10*Underwriting!B44)*(E$5/12)/(1-(1+E$5/12)^(-Underwriting!B46*12)))*12))/($A10*(1-Underwriting!B44)+$A10*Underwriting!B47+Underwriting!B48)</f>
        <v/>
      </c>
      <c r="F10" s="37">
        <f>(Underwriting!B40-((($A10*Underwriting!B44)*(F$5/12)/(1-(1+F$5/12)^(-Underwriting!B46*12)))*12))/($A10*(1-Underwriting!B44)+$A10*Underwriting!B47+Underwriting!B48)</f>
        <v/>
      </c>
    </row>
    <row r="13" ht="20" customHeight="1">
      <c r="A13" s="6" t="inlineStr">
        <is>
          <t>DEBT SERVICE COVERAGE (DSCR)  —  Price x Interest Rate</t>
        </is>
      </c>
    </row>
    <row r="14">
      <c r="A14" s="35" t="inlineStr">
        <is>
          <t>Price \ Rate</t>
        </is>
      </c>
      <c r="B14" s="36">
        <f>Underwriting!B45+-0.01</f>
        <v/>
      </c>
      <c r="C14" s="36">
        <f>Underwriting!B45+-0.005</f>
        <v/>
      </c>
      <c r="D14" s="36">
        <f>Underwriting!B45+0</f>
        <v/>
      </c>
      <c r="E14" s="36">
        <f>Underwriting!B45+0.005</f>
        <v/>
      </c>
      <c r="F14" s="36">
        <f>Underwriting!B45+0.01</f>
        <v/>
      </c>
    </row>
    <row r="15">
      <c r="A15" s="23">
        <f>Underwriting!B9*0.9</f>
        <v/>
      </c>
      <c r="B15" s="38">
        <f>Underwriting!B40/((($A15*Underwriting!B44)*(B$14/12)/(1-(1+B$14/12)^(-Underwriting!B46*12)))*12)</f>
        <v/>
      </c>
      <c r="C15" s="38">
        <f>Underwriting!B40/((($A15*Underwriting!B44)*(C$14/12)/(1-(1+C$14/12)^(-Underwriting!B46*12)))*12)</f>
        <v/>
      </c>
      <c r="D15" s="38">
        <f>Underwriting!B40/((($A15*Underwriting!B44)*(D$14/12)/(1-(1+D$14/12)^(-Underwriting!B46*12)))*12)</f>
        <v/>
      </c>
      <c r="E15" s="38">
        <f>Underwriting!B40/((($A15*Underwriting!B44)*(E$14/12)/(1-(1+E$14/12)^(-Underwriting!B46*12)))*12)</f>
        <v/>
      </c>
      <c r="F15" s="38">
        <f>Underwriting!B40/((($A15*Underwriting!B44)*(F$14/12)/(1-(1+F$14/12)^(-Underwriting!B46*12)))*12)</f>
        <v/>
      </c>
    </row>
    <row r="16">
      <c r="A16" s="23">
        <f>Underwriting!B9*0.95</f>
        <v/>
      </c>
      <c r="B16" s="38">
        <f>Underwriting!B40/((($A16*Underwriting!B44)*(B$14/12)/(1-(1+B$14/12)^(-Underwriting!B46*12)))*12)</f>
        <v/>
      </c>
      <c r="C16" s="38">
        <f>Underwriting!B40/((($A16*Underwriting!B44)*(C$14/12)/(1-(1+C$14/12)^(-Underwriting!B46*12)))*12)</f>
        <v/>
      </c>
      <c r="D16" s="38">
        <f>Underwriting!B40/((($A16*Underwriting!B44)*(D$14/12)/(1-(1+D$14/12)^(-Underwriting!B46*12)))*12)</f>
        <v/>
      </c>
      <c r="E16" s="38">
        <f>Underwriting!B40/((($A16*Underwriting!B44)*(E$14/12)/(1-(1+E$14/12)^(-Underwriting!B46*12)))*12)</f>
        <v/>
      </c>
      <c r="F16" s="38">
        <f>Underwriting!B40/((($A16*Underwriting!B44)*(F$14/12)/(1-(1+F$14/12)^(-Underwriting!B46*12)))*12)</f>
        <v/>
      </c>
    </row>
    <row r="17">
      <c r="A17" s="23">
        <f>Underwriting!B9*1.0</f>
        <v/>
      </c>
      <c r="B17" s="38">
        <f>Underwriting!B40/((($A17*Underwriting!B44)*(B$14/12)/(1-(1+B$14/12)^(-Underwriting!B46*12)))*12)</f>
        <v/>
      </c>
      <c r="C17" s="38">
        <f>Underwriting!B40/((($A17*Underwriting!B44)*(C$14/12)/(1-(1+C$14/12)^(-Underwriting!B46*12)))*12)</f>
        <v/>
      </c>
      <c r="D17" s="38">
        <f>Underwriting!B40/((($A17*Underwriting!B44)*(D$14/12)/(1-(1+D$14/12)^(-Underwriting!B46*12)))*12)</f>
        <v/>
      </c>
      <c r="E17" s="38">
        <f>Underwriting!B40/((($A17*Underwriting!B44)*(E$14/12)/(1-(1+E$14/12)^(-Underwriting!B46*12)))*12)</f>
        <v/>
      </c>
      <c r="F17" s="38">
        <f>Underwriting!B40/((($A17*Underwriting!B44)*(F$14/12)/(1-(1+F$14/12)^(-Underwriting!B46*12)))*12)</f>
        <v/>
      </c>
    </row>
    <row r="18">
      <c r="A18" s="23">
        <f>Underwriting!B9*1.05</f>
        <v/>
      </c>
      <c r="B18" s="38">
        <f>Underwriting!B40/((($A18*Underwriting!B44)*(B$14/12)/(1-(1+B$14/12)^(-Underwriting!B46*12)))*12)</f>
        <v/>
      </c>
      <c r="C18" s="38">
        <f>Underwriting!B40/((($A18*Underwriting!B44)*(C$14/12)/(1-(1+C$14/12)^(-Underwriting!B46*12)))*12)</f>
        <v/>
      </c>
      <c r="D18" s="38">
        <f>Underwriting!B40/((($A18*Underwriting!B44)*(D$14/12)/(1-(1+D$14/12)^(-Underwriting!B46*12)))*12)</f>
        <v/>
      </c>
      <c r="E18" s="38">
        <f>Underwriting!B40/((($A18*Underwriting!B44)*(E$14/12)/(1-(1+E$14/12)^(-Underwriting!B46*12)))*12)</f>
        <v/>
      </c>
      <c r="F18" s="38">
        <f>Underwriting!B40/((($A18*Underwriting!B44)*(F$14/12)/(1-(1+F$14/12)^(-Underwriting!B46*12)))*12)</f>
        <v/>
      </c>
    </row>
    <row r="19">
      <c r="A19" s="23">
        <f>Underwriting!B9*1.1</f>
        <v/>
      </c>
      <c r="B19" s="38">
        <f>Underwriting!B40/((($A19*Underwriting!B44)*(B$14/12)/(1-(1+B$14/12)^(-Underwriting!B46*12)))*12)</f>
        <v/>
      </c>
      <c r="C19" s="38">
        <f>Underwriting!B40/((($A19*Underwriting!B44)*(C$14/12)/(1-(1+C$14/12)^(-Underwriting!B46*12)))*12)</f>
        <v/>
      </c>
      <c r="D19" s="38">
        <f>Underwriting!B40/((($A19*Underwriting!B44)*(D$14/12)/(1-(1+D$14/12)^(-Underwriting!B46*12)))*12)</f>
        <v/>
      </c>
      <c r="E19" s="38">
        <f>Underwriting!B40/((($A19*Underwriting!B44)*(E$14/12)/(1-(1+E$14/12)^(-Underwriting!B46*12)))*12)</f>
        <v/>
      </c>
      <c r="F19" s="38">
        <f>Underwriting!B40/((($A19*Underwriting!B44)*(F$14/12)/(1-(1+F$14/12)^(-Underwriting!B46*12)))*12)</f>
        <v/>
      </c>
    </row>
    <row r="21">
      <c r="A21" s="15" t="inlineStr">
        <is>
          <t>NOTE: the two tables above hold NOI constant to isolate price &amp; financing risk.</t>
        </is>
      </c>
    </row>
    <row r="23" ht="20" customHeight="1">
      <c r="A23" s="6" t="inlineStr">
        <is>
          <t>CASH-ON-CASH RETURN  —  Monthly Rent x Vacancy</t>
        </is>
      </c>
    </row>
    <row r="24">
      <c r="A24" s="35" t="inlineStr">
        <is>
          <t>Rent \ Vacancy</t>
        </is>
      </c>
      <c r="B24" s="39" t="n">
        <v>0.05</v>
      </c>
      <c r="C24" s="39" t="n">
        <v>0.1</v>
      </c>
      <c r="D24" s="39" t="n">
        <v>0.15</v>
      </c>
      <c r="E24" s="39" t="n">
        <v>0.2</v>
      </c>
      <c r="F24" s="39" t="n">
        <v>0.25</v>
      </c>
    </row>
    <row r="25">
      <c r="A25" s="23">
        <f>Underwriting!B11+-100</f>
        <v/>
      </c>
      <c r="B25" s="37">
        <f>(((Underwriting!B8*$A25*12*(1-B$24)+Underwriting!B23)-((Underwriting!B35-Underwriting!B33)+Underwriting!B14*(Underwriting!B8*$A25*12*(1-B$24)+Underwriting!B23)))-Underwriting!B59)/Underwriting!B57</f>
        <v/>
      </c>
      <c r="C25" s="37">
        <f>(((Underwriting!B8*$A25*12*(1-C$24)+Underwriting!B23)-((Underwriting!B35-Underwriting!B33)+Underwriting!B14*(Underwriting!B8*$A25*12*(1-C$24)+Underwriting!B23)))-Underwriting!B59)/Underwriting!B57</f>
        <v/>
      </c>
      <c r="D25" s="37">
        <f>(((Underwriting!B8*$A25*12*(1-D$24)+Underwriting!B23)-((Underwriting!B35-Underwriting!B33)+Underwriting!B14*(Underwriting!B8*$A25*12*(1-D$24)+Underwriting!B23)))-Underwriting!B59)/Underwriting!B57</f>
        <v/>
      </c>
      <c r="E25" s="37">
        <f>(((Underwriting!B8*$A25*12*(1-E$24)+Underwriting!B23)-((Underwriting!B35-Underwriting!B33)+Underwriting!B14*(Underwriting!B8*$A25*12*(1-E$24)+Underwriting!B23)))-Underwriting!B59)/Underwriting!B57</f>
        <v/>
      </c>
      <c r="F25" s="37">
        <f>(((Underwriting!B8*$A25*12*(1-F$24)+Underwriting!B23)-((Underwriting!B35-Underwriting!B33)+Underwriting!B14*(Underwriting!B8*$A25*12*(1-F$24)+Underwriting!B23)))-Underwriting!B59)/Underwriting!B57</f>
        <v/>
      </c>
    </row>
    <row r="26">
      <c r="A26" s="23">
        <f>Underwriting!B11+-50</f>
        <v/>
      </c>
      <c r="B26" s="37">
        <f>(((Underwriting!B8*$A26*12*(1-B$24)+Underwriting!B23)-((Underwriting!B35-Underwriting!B33)+Underwriting!B14*(Underwriting!B8*$A26*12*(1-B$24)+Underwriting!B23)))-Underwriting!B59)/Underwriting!B57</f>
        <v/>
      </c>
      <c r="C26" s="37">
        <f>(((Underwriting!B8*$A26*12*(1-C$24)+Underwriting!B23)-((Underwriting!B35-Underwriting!B33)+Underwriting!B14*(Underwriting!B8*$A26*12*(1-C$24)+Underwriting!B23)))-Underwriting!B59)/Underwriting!B57</f>
        <v/>
      </c>
      <c r="D26" s="37">
        <f>(((Underwriting!B8*$A26*12*(1-D$24)+Underwriting!B23)-((Underwriting!B35-Underwriting!B33)+Underwriting!B14*(Underwriting!B8*$A26*12*(1-D$24)+Underwriting!B23)))-Underwriting!B59)/Underwriting!B57</f>
        <v/>
      </c>
      <c r="E26" s="37">
        <f>(((Underwriting!B8*$A26*12*(1-E$24)+Underwriting!B23)-((Underwriting!B35-Underwriting!B33)+Underwriting!B14*(Underwriting!B8*$A26*12*(1-E$24)+Underwriting!B23)))-Underwriting!B59)/Underwriting!B57</f>
        <v/>
      </c>
      <c r="F26" s="37">
        <f>(((Underwriting!B8*$A26*12*(1-F$24)+Underwriting!B23)-((Underwriting!B35-Underwriting!B33)+Underwriting!B14*(Underwriting!B8*$A26*12*(1-F$24)+Underwriting!B23)))-Underwriting!B59)/Underwriting!B57</f>
        <v/>
      </c>
    </row>
    <row r="27">
      <c r="A27" s="23">
        <f>Underwriting!B11+0</f>
        <v/>
      </c>
      <c r="B27" s="37">
        <f>(((Underwriting!B8*$A27*12*(1-B$24)+Underwriting!B23)-((Underwriting!B35-Underwriting!B33)+Underwriting!B14*(Underwriting!B8*$A27*12*(1-B$24)+Underwriting!B23)))-Underwriting!B59)/Underwriting!B57</f>
        <v/>
      </c>
      <c r="C27" s="37">
        <f>(((Underwriting!B8*$A27*12*(1-C$24)+Underwriting!B23)-((Underwriting!B35-Underwriting!B33)+Underwriting!B14*(Underwriting!B8*$A27*12*(1-C$24)+Underwriting!B23)))-Underwriting!B59)/Underwriting!B57</f>
        <v/>
      </c>
      <c r="D27" s="37">
        <f>(((Underwriting!B8*$A27*12*(1-D$24)+Underwriting!B23)-((Underwriting!B35-Underwriting!B33)+Underwriting!B14*(Underwriting!B8*$A27*12*(1-D$24)+Underwriting!B23)))-Underwriting!B59)/Underwriting!B57</f>
        <v/>
      </c>
      <c r="E27" s="37">
        <f>(((Underwriting!B8*$A27*12*(1-E$24)+Underwriting!B23)-((Underwriting!B35-Underwriting!B33)+Underwriting!B14*(Underwriting!B8*$A27*12*(1-E$24)+Underwriting!B23)))-Underwriting!B59)/Underwriting!B57</f>
        <v/>
      </c>
      <c r="F27" s="37">
        <f>(((Underwriting!B8*$A27*12*(1-F$24)+Underwriting!B23)-((Underwriting!B35-Underwriting!B33)+Underwriting!B14*(Underwriting!B8*$A27*12*(1-F$24)+Underwriting!B23)))-Underwriting!B59)/Underwriting!B57</f>
        <v/>
      </c>
    </row>
    <row r="28">
      <c r="A28" s="23">
        <f>Underwriting!B11+50</f>
        <v/>
      </c>
      <c r="B28" s="37">
        <f>(((Underwriting!B8*$A28*12*(1-B$24)+Underwriting!B23)-((Underwriting!B35-Underwriting!B33)+Underwriting!B14*(Underwriting!B8*$A28*12*(1-B$24)+Underwriting!B23)))-Underwriting!B59)/Underwriting!B57</f>
        <v/>
      </c>
      <c r="C28" s="37">
        <f>(((Underwriting!B8*$A28*12*(1-C$24)+Underwriting!B23)-((Underwriting!B35-Underwriting!B33)+Underwriting!B14*(Underwriting!B8*$A28*12*(1-C$24)+Underwriting!B23)))-Underwriting!B59)/Underwriting!B57</f>
        <v/>
      </c>
      <c r="D28" s="37">
        <f>(((Underwriting!B8*$A28*12*(1-D$24)+Underwriting!B23)-((Underwriting!B35-Underwriting!B33)+Underwriting!B14*(Underwriting!B8*$A28*12*(1-D$24)+Underwriting!B23)))-Underwriting!B59)/Underwriting!B57</f>
        <v/>
      </c>
      <c r="E28" s="37">
        <f>(((Underwriting!B8*$A28*12*(1-E$24)+Underwriting!B23)-((Underwriting!B35-Underwriting!B33)+Underwriting!B14*(Underwriting!B8*$A28*12*(1-E$24)+Underwriting!B23)))-Underwriting!B59)/Underwriting!B57</f>
        <v/>
      </c>
      <c r="F28" s="37">
        <f>(((Underwriting!B8*$A28*12*(1-F$24)+Underwriting!B23)-((Underwriting!B35-Underwriting!B33)+Underwriting!B14*(Underwriting!B8*$A28*12*(1-F$24)+Underwriting!B23)))-Underwriting!B59)/Underwriting!B57</f>
        <v/>
      </c>
    </row>
    <row r="29">
      <c r="A29" s="23">
        <f>Underwriting!B11+100</f>
        <v/>
      </c>
      <c r="B29" s="37">
        <f>(((Underwriting!B8*$A29*12*(1-B$24)+Underwriting!B23)-((Underwriting!B35-Underwriting!B33)+Underwriting!B14*(Underwriting!B8*$A29*12*(1-B$24)+Underwriting!B23)))-Underwriting!B59)/Underwriting!B57</f>
        <v/>
      </c>
      <c r="C29" s="37">
        <f>(((Underwriting!B8*$A29*12*(1-C$24)+Underwriting!B23)-((Underwriting!B35-Underwriting!B33)+Underwriting!B14*(Underwriting!B8*$A29*12*(1-C$24)+Underwriting!B23)))-Underwriting!B59)/Underwriting!B57</f>
        <v/>
      </c>
      <c r="D29" s="37">
        <f>(((Underwriting!B8*$A29*12*(1-D$24)+Underwriting!B23)-((Underwriting!B35-Underwriting!B33)+Underwriting!B14*(Underwriting!B8*$A29*12*(1-D$24)+Underwriting!B23)))-Underwriting!B59)/Underwriting!B57</f>
        <v/>
      </c>
      <c r="E29" s="37">
        <f>(((Underwriting!B8*$A29*12*(1-E$24)+Underwriting!B23)-((Underwriting!B35-Underwriting!B33)+Underwriting!B14*(Underwriting!B8*$A29*12*(1-E$24)+Underwriting!B23)))-Underwriting!B59)/Underwriting!B57</f>
        <v/>
      </c>
      <c r="F29" s="37">
        <f>(((Underwriting!B8*$A29*12*(1-F$24)+Underwriting!B23)-((Underwriting!B35-Underwriting!B33)+Underwriting!B14*(Underwriting!B8*$A29*12*(1-F$24)+Underwriting!B23)))-Underwriting!B59)/Underwriting!B57</f>
        <v/>
      </c>
    </row>
    <row r="31">
      <c r="A31" s="15" t="inlineStr">
        <is>
          <t>NOTE: this table recomputes NOI (management fee scales with EGI). Uses sites x rent income, not the Income Detail build.</t>
        </is>
      </c>
    </row>
  </sheetData>
  <mergeCells count="4">
    <mergeCell ref="A13:F13"/>
    <mergeCell ref="A1:F1"/>
    <mergeCell ref="A23:F23"/>
    <mergeCell ref="A4:F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34" customWidth="1" min="3" max="3"/>
  </cols>
  <sheetData>
    <row r="1" ht="26" customHeight="1">
      <c r="A1" s="4" t="inlineStr">
        <is>
          <t>LOAN SIZING — MAX PRICE AT TARGET DSCR</t>
        </is>
      </c>
    </row>
    <row r="2">
      <c r="A2" s="15" t="inlineStr">
        <is>
          <t>Works backward from how much debt the NOI supports. NOI is held at the Underwriting Year-1 figure; rate, amortization and LTV come from the Underwriting tab.</t>
        </is>
      </c>
    </row>
    <row r="4" ht="20" customHeight="1">
      <c r="A4" s="6" t="inlineStr">
        <is>
          <t>TARGETS  (your / the lender's limits)</t>
        </is>
      </c>
    </row>
    <row r="5">
      <c r="A5" s="16" t="inlineStr">
        <is>
          <t>Target DSCR</t>
        </is>
      </c>
      <c r="B5" s="40" t="n">
        <v>1.25</v>
      </c>
      <c r="C5" s="15" t="inlineStr">
        <is>
          <t>minimum coverage lender requires</t>
        </is>
      </c>
    </row>
    <row r="6">
      <c r="A6" s="16" t="inlineStr">
        <is>
          <t>Target Debt Yield</t>
        </is>
      </c>
      <c r="B6" s="21" t="n">
        <v>0.1</v>
      </c>
      <c r="C6" s="15" t="inlineStr">
        <is>
          <t>NOI / loan floor (often 9-10%)</t>
        </is>
      </c>
    </row>
    <row r="7">
      <c r="A7" s="16" t="inlineStr">
        <is>
          <t>Max LTV %</t>
        </is>
      </c>
      <c r="B7" s="21" t="n">
        <v>0.75</v>
      </c>
      <c r="C7" s="15" t="inlineStr">
        <is>
          <t>lender's loan-to-value cap</t>
        </is>
      </c>
    </row>
    <row r="9" ht="20" customHeight="1">
      <c r="A9" s="6" t="inlineStr">
        <is>
          <t>LOAN INPUTS  (from Underwriting)</t>
        </is>
      </c>
    </row>
    <row r="10">
      <c r="A10" s="16" t="inlineStr">
        <is>
          <t>Year-1 NOI</t>
        </is>
      </c>
      <c r="B10" s="20">
        <f>Underwriting!B40</f>
        <v/>
      </c>
    </row>
    <row r="11">
      <c r="A11" s="16" t="inlineStr">
        <is>
          <t>Interest Rate</t>
        </is>
      </c>
      <c r="B11" s="41">
        <f>Underwriting!B45</f>
        <v/>
      </c>
    </row>
    <row r="12">
      <c r="A12" s="16" t="inlineStr">
        <is>
          <t>Amortization (yrs)</t>
        </is>
      </c>
      <c r="B12" s="31">
        <f>Underwriting!B46</f>
        <v/>
      </c>
    </row>
    <row r="13">
      <c r="A13" s="16" t="inlineStr">
        <is>
          <t>Annual Debt Constant (per $1 loan)</t>
        </is>
      </c>
      <c r="B13" s="42">
        <f>PMT(B11/12,B12*12,-1)*12</f>
        <v/>
      </c>
      <c r="C13" s="15">
        <f> annual debt service per $1 borrowed</f>
        <v/>
      </c>
    </row>
    <row r="15" ht="20" customHeight="1">
      <c r="A15" s="6" t="inlineStr">
        <is>
          <t>MAXIMUM SUPPORTABLE LOAN</t>
        </is>
      </c>
    </row>
    <row r="16">
      <c r="A16" s="16" t="inlineStr">
        <is>
          <t>Max Annual Debt Service (DSCR)</t>
        </is>
      </c>
      <c r="B16" s="20">
        <f>B10/B5</f>
        <v/>
      </c>
      <c r="C16" s="15">
        <f> NOI / target DSCR</f>
        <v/>
      </c>
    </row>
    <row r="17">
      <c r="A17" s="16" t="inlineStr">
        <is>
          <t>Max Loan — DSCR constrained</t>
        </is>
      </c>
      <c r="B17" s="20">
        <f>B16/B13</f>
        <v/>
      </c>
    </row>
    <row r="18">
      <c r="A18" s="16" t="inlineStr">
        <is>
          <t>Max Loan — Debt-Yield constrained</t>
        </is>
      </c>
      <c r="B18" s="20">
        <f>B10/B6</f>
        <v/>
      </c>
    </row>
    <row r="19">
      <c r="A19" s="7" t="inlineStr">
        <is>
          <t>Binding Max Loan</t>
        </is>
      </c>
      <c r="B19" s="23">
        <f>MIN(B17,B18)</f>
        <v/>
      </c>
      <c r="C19" s="15" t="inlineStr">
        <is>
          <t>the lesser of the two</t>
        </is>
      </c>
    </row>
    <row r="21" ht="20" customHeight="1">
      <c r="A21" s="6" t="inlineStr">
        <is>
          <t>MAXIMUM PURCHASE PRICE</t>
        </is>
      </c>
    </row>
    <row r="22">
      <c r="A22" s="7" t="inlineStr">
        <is>
          <t>Max Price — DSCR/Debt-Yield (at Max LTV)</t>
        </is>
      </c>
      <c r="B22" s="25">
        <f>B19/B7</f>
        <v/>
      </c>
      <c r="C22" s="15" t="inlineStr">
        <is>
          <t>price the debt supports at your LTV</t>
        </is>
      </c>
    </row>
    <row r="23">
      <c r="A23" s="16" t="inlineStr">
        <is>
          <t>Current Purchase Price</t>
        </is>
      </c>
      <c r="B23" s="20">
        <f>Underwriting!B9</f>
        <v/>
      </c>
    </row>
    <row r="24">
      <c r="A24" s="7" t="inlineStr">
        <is>
          <t>Price Headroom ($)</t>
        </is>
      </c>
      <c r="B24" s="9">
        <f>B22-B23</f>
        <v/>
      </c>
      <c r="C24" s="15" t="inlineStr">
        <is>
          <t>positive = room to pay more; negative = overpaying</t>
        </is>
      </c>
    </row>
    <row r="25">
      <c r="A25" s="7" t="inlineStr">
        <is>
          <t>Price Headroom (%)</t>
        </is>
      </c>
      <c r="B25" s="14">
        <f>B24/B23</f>
        <v/>
      </c>
    </row>
    <row r="26">
      <c r="A26" s="16" t="inlineStr">
        <is>
          <t>DSCR at Current Price</t>
        </is>
      </c>
      <c r="B26" s="29">
        <f>Underwriting!B65</f>
        <v/>
      </c>
      <c r="C26" s="15" t="inlineStr">
        <is>
          <t>for reference (target above)</t>
        </is>
      </c>
    </row>
    <row r="27">
      <c r="A27" s="16" t="inlineStr">
        <is>
          <t>Required Equity at Max Price</t>
        </is>
      </c>
      <c r="B27" s="20">
        <f>B22*(1-B7)</f>
        <v/>
      </c>
      <c r="C27" s="15" t="inlineStr">
        <is>
          <t>down payment if you buy at the max</t>
        </is>
      </c>
    </row>
    <row r="29">
      <c r="A29" s="15" t="inlineStr">
        <is>
          <t>READ: if Headroom is negative, the price is higher than the income can safely finance at your target DSCR — you'd need more equity, a lower rate, or a price cut.</t>
        </is>
      </c>
    </row>
  </sheetData>
  <mergeCells count="5">
    <mergeCell ref="A1:C1"/>
    <mergeCell ref="A9:C9"/>
    <mergeCell ref="A21:C21"/>
    <mergeCell ref="A15:C15"/>
    <mergeCell ref="A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2026-06-26T21:13:56Z</dcterms:created>
  <dcterms:modified xsi:type="dcterms:W3CDTF">2026-06-26T21:13:56Z</dcterms:modified>
</cp:coreProperties>
</file>