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al Summary" sheetId="2" state="visible" r:id="rId2"/>
    <sheet xmlns:r="http://schemas.openxmlformats.org/officeDocument/2006/relationships" name="Deal Scorecard" sheetId="3" state="visible" r:id="rId3"/>
    <sheet xmlns:r="http://schemas.openxmlformats.org/officeDocument/2006/relationships" name="Underwriting" sheetId="4" state="visible" r:id="rId4"/>
    <sheet xmlns:r="http://schemas.openxmlformats.org/officeDocument/2006/relationships" name="Normalization" sheetId="5" state="visible" r:id="rId5"/>
    <sheet xmlns:r="http://schemas.openxmlformats.org/officeDocument/2006/relationships" name="Operator &amp; Capital" sheetId="6" state="visible" r:id="rId6"/>
    <sheet xmlns:r="http://schemas.openxmlformats.org/officeDocument/2006/relationships" name="Offer Structures" sheetId="7" state="visible" r:id="rId7"/>
    <sheet xmlns:r="http://schemas.openxmlformats.org/officeDocument/2006/relationships" name="Income Detail" sheetId="8" state="visible" r:id="rId8"/>
    <sheet xmlns:r="http://schemas.openxmlformats.org/officeDocument/2006/relationships" name="Actuals vs Pro Forma" sheetId="9" state="visible" r:id="rId9"/>
    <sheet xmlns:r="http://schemas.openxmlformats.org/officeDocument/2006/relationships" name="Pro Forma &amp; Return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Loan Sizin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&quot;x&quot;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4E78"/>
      <sz val="11"/>
    </font>
    <font>
      <name val="Calibri"/>
      <sz val="11"/>
    </font>
    <font>
      <b val="1"/>
      <color rgb="001F4E78"/>
      <sz val="13"/>
    </font>
    <font>
      <name val="Calibri"/>
      <b val="1"/>
      <color rgb="001F4E78"/>
      <sz val="20"/>
    </font>
    <font>
      <b val="1"/>
      <color rgb="009C0006"/>
      <sz val="12"/>
    </font>
    <font>
      <b val="1"/>
      <sz val="13"/>
    </font>
    <font>
      <b val="1"/>
      <sz val="12"/>
    </font>
    <font>
      <sz val="11"/>
    </font>
    <font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12" fillId="0" borderId="0" pivotButton="0" quotePrefix="0" xfId="0"/>
    <xf numFmtId="0" fontId="1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0" fontId="4" fillId="6" borderId="0" pivotButton="0" quotePrefix="0" xfId="0"/>
    <xf numFmtId="165" fontId="8" fillId="6" borderId="0" applyAlignment="1" pivotButton="0" quotePrefix="0" xfId="0">
      <alignment horizontal="right"/>
    </xf>
    <xf numFmtId="166" fontId="8" fillId="6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6" fillId="0" borderId="0" pivotButton="0" quotePrefix="0" xfId="0"/>
    <xf numFmtId="166" fontId="4" fillId="0" borderId="0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165" fontId="5" fillId="4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49" fontId="5" fillId="4" borderId="1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4" fontId="4" fillId="6" borderId="0" applyAlignment="1" pivotButton="0" quotePrefix="0" xfId="0">
      <alignment horizontal="right"/>
    </xf>
    <xf numFmtId="165" fontId="4" fillId="6" borderId="0" applyAlignment="1" pivotButton="0" quotePrefix="0" xfId="0">
      <alignment horizontal="right"/>
    </xf>
    <xf numFmtId="166" fontId="4" fillId="6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9" fillId="0" borderId="0" pivotButton="0" quotePrefix="0" xfId="0"/>
    <xf numFmtId="164" fontId="9" fillId="7" borderId="0" applyAlignment="1" pivotButton="0" quotePrefix="0" xfId="0">
      <alignment horizontal="right"/>
    </xf>
    <xf numFmtId="164" fontId="4" fillId="7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0" fontId="11" fillId="0" borderId="0" pivotButton="0" quotePrefix="0" xfId="0"/>
    <xf numFmtId="164" fontId="11" fillId="6" borderId="0" applyAlignment="1" pivotButton="0" quotePrefix="0" xfId="0">
      <alignment horizontal="right"/>
    </xf>
    <xf numFmtId="0" fontId="3" fillId="3" borderId="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right"/>
    </xf>
    <xf numFmtId="49" fontId="6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3" fontId="6" fillId="0" borderId="0" applyAlignment="1" pivotButton="0" quotePrefix="0" xfId="0">
      <alignment horizontal="right"/>
    </xf>
    <xf numFmtId="0" fontId="3" fillId="3" borderId="0" pivotButton="0" quotePrefix="0" xfId="0"/>
    <xf numFmtId="164" fontId="6" fillId="5" borderId="0" applyAlignment="1" pivotButton="0" quotePrefix="0" xfId="0">
      <alignment horizontal="right"/>
    </xf>
    <xf numFmtId="0" fontId="4" fillId="5" borderId="0" applyAlignment="1" pivotButton="0" quotePrefix="0" xfId="0">
      <alignment horizontal="center"/>
    </xf>
    <xf numFmtId="10" fontId="4" fillId="5" borderId="0" applyAlignment="1" pivotButton="0" quotePrefix="0" xfId="0">
      <alignment horizontal="center"/>
    </xf>
    <xf numFmtId="166" fontId="0" fillId="0" borderId="0" applyAlignment="1" pivotButton="0" quotePrefix="0" xfId="0">
      <alignment horizontal="right"/>
    </xf>
    <xf numFmtId="165" fontId="4" fillId="5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 ht="26" customHeight="1">
      <c r="A1" s="1" t="inlineStr">
        <is>
          <t>RV PARK UNDERWRITING — HOW TO USE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An RV-park deal-screening model built on the LindaAI underwriting framework. Drop in a</t>
        </is>
      </c>
    </row>
    <row r="5">
      <c r="A5" s="2" t="inlineStr">
        <is>
          <t>deal's numbers and it tells you in minutes whether it makes money — using Linda's 5 key metrics, its 5</t>
        </is>
      </c>
    </row>
    <row r="6">
      <c r="A6" s="2" t="inlineStr">
        <is>
          <t>quick hacks, NOI normalization, and its go / conditional / no-go rule. Works for RV parks and adapts</t>
        </is>
      </c>
    </row>
    <row r="7">
      <c r="A7" s="2" t="inlineStr">
        <is>
          <t>directly to mobile home parks (same lot-rent math). Part of the LindaAI underwriting framework.</t>
        </is>
      </c>
    </row>
    <row r="8">
      <c r="A8" s="2" t="inlineStr"/>
    </row>
    <row r="9">
      <c r="A9" s="2" t="inlineStr">
        <is>
          <t>LINDA'S 5 KEY METRICS (the heartbeat of the deal)</t>
        </is>
      </c>
    </row>
    <row r="10">
      <c r="A10" s="2" t="inlineStr">
        <is>
          <t xml:space="preserve">  1. NOI — effective gross income (EGI) minus operating expenses. Every other metric flows from it.</t>
        </is>
      </c>
    </row>
    <row r="11">
      <c r="A11" s="2" t="inlineStr">
        <is>
          <t xml:space="preserve">  2. Cap Rate = NOI / price. Higher = paying less. But a very high cap (14%+) usually means hidden risk.</t>
        </is>
      </c>
    </row>
    <row r="12">
      <c r="A12" s="2" t="inlineStr">
        <is>
          <t xml:space="preserve">  3. DSCR = NOI / annual debt. Linda's floor is 1.35x — that's YOUR target, not just the lender's.</t>
        </is>
      </c>
    </row>
    <row r="13">
      <c r="A13" s="2" t="inlineStr">
        <is>
          <t xml:space="preserve">  4. Net Profit = what's left after opex AND debt service.</t>
        </is>
      </c>
    </row>
    <row r="14">
      <c r="A14" s="2" t="inlineStr">
        <is>
          <t xml:space="preserve">  5. Cash-on-Cash = net profit / cash invested. Linda's target is 10%+.</t>
        </is>
      </c>
    </row>
    <row r="15">
      <c r="A15" s="2" t="inlineStr"/>
    </row>
    <row r="16">
      <c r="A16" s="2" t="inlineStr">
        <is>
          <t>LINDA'S 5 QUICK HACKS (screen any listing in ~2 minutes) — see the Deal Scorecard tab</t>
        </is>
      </c>
    </row>
    <row r="17">
      <c r="A17" s="2" t="inlineStr">
        <is>
          <t xml:space="preserve">  1. 1% Rule — monthly gross &gt;= 1% of price = likely good (cross the last two zeros off the price).</t>
        </is>
      </c>
    </row>
    <row r="18">
      <c r="A18" s="2" t="inlineStr">
        <is>
          <t xml:space="preserve">  2. 10x Rule (GRM) — price / annual gross; want UNDER 10. Over ~15 is expensive.</t>
        </is>
      </c>
    </row>
    <row r="19">
      <c r="A19" s="2" t="inlineStr">
        <is>
          <t xml:space="preserve">  3. Quick DSCR — NOI / (price x interest rate): &gt;1.5 good, 1.25-1.5 closer look, &lt;1.25 lending risk.</t>
        </is>
      </c>
    </row>
    <row r="20">
      <c r="A20" s="2" t="inlineStr">
        <is>
          <t xml:space="preserve">  4. Expense Ratio — OpEx / gross: UNDER 30% = numbers are fiction; 35-65% normal; over 70% a problem.</t>
        </is>
      </c>
    </row>
    <row r="21">
      <c r="A21" s="2" t="inlineStr">
        <is>
          <t xml:space="preserve">  5. Negative Leverage — if cap rate &lt; your interest rate you lose money day one. Want cap ABOVE rate.</t>
        </is>
      </c>
    </row>
    <row r="22">
      <c r="A22" s="2" t="inlineStr"/>
    </row>
    <row r="23">
      <c r="A23" s="2" t="inlineStr">
        <is>
          <t>NORMALIZE THE NOI (Linda: never trust the seller's NOI) — see the Normalization tab</t>
        </is>
      </c>
    </row>
    <row r="24">
      <c r="A24" s="2" t="inlineStr">
        <is>
          <t xml:space="preserve">  The OM is the seller's best case; the Pro Forma is fantasy; the T12 is your start but needs adjusting.</t>
        </is>
      </c>
    </row>
    <row r="25">
      <c r="A25" s="2" t="inlineStr">
        <is>
          <t xml:space="preserve">  Linda's 4 standard adjustments: management -&gt; 10% of EGI, repairs -&gt; 5% (or prior year), capex -&gt; +3%,</t>
        </is>
      </c>
    </row>
    <row r="26">
      <c r="A26" s="2" t="inlineStr">
        <is>
          <t xml:space="preserve">  property taxes -&gt; +20% (they reset on sale). A small NOI cut at an 8-10% cap = a huge price difference.</t>
        </is>
      </c>
    </row>
    <row r="27">
      <c r="A27" s="2" t="inlineStr"/>
    </row>
    <row r="28">
      <c r="A28" s="2" t="inlineStr">
        <is>
          <t>THE BAD-DAY TEST (break the deal on purpose) — use the Sensitivity tab</t>
        </is>
      </c>
    </row>
    <row r="29">
      <c r="A29" s="2" t="inlineStr">
        <is>
          <t xml:space="preserve">  Cut occupancy 10-15%, add 1-2% to the interest rate, raise expenses 10-15%. Does DSCR still clear?</t>
        </is>
      </c>
    </row>
    <row r="30">
      <c r="A30" s="2" t="inlineStr"/>
    </row>
    <row r="31">
      <c r="A31" s="2" t="inlineStr">
        <is>
          <t>THE DECISION (after normalizing)</t>
        </is>
      </c>
    </row>
    <row r="32">
      <c r="A32" s="2" t="inlineStr">
        <is>
          <t xml:space="preserve">  Both DSCR (&gt;=1.35) AND Cash-on-Cash (&gt;=10%) clear -&gt; GO. One fails -&gt; CONDITIONAL (restructure).</t>
        </is>
      </c>
    </row>
    <row r="33">
      <c r="A33" s="2" t="inlineStr">
        <is>
          <t xml:space="preserve">  Both fail -&gt; likely NO-GO. To save a conditional deal, use Linda's 3 levers: lower the price to your</t>
        </is>
      </c>
    </row>
    <row r="34">
      <c r="A34" s="2" t="inlineStr">
        <is>
          <t xml:space="preserve">  MAO, ask the seller to carry a slice (blended rate drops), or add down payment. Don't pay the seller</t>
        </is>
      </c>
    </row>
    <row r="35">
      <c r="A35" s="2" t="inlineStr">
        <is>
          <t xml:space="preserve">  for value YOU will create (rent bumps to market, occupancy, utility bill-back, added revenue).</t>
        </is>
      </c>
    </row>
    <row r="36">
      <c r="A36" s="2" t="inlineStr"/>
    </row>
    <row r="37">
      <c r="A37" s="2" t="inlineStr">
        <is>
          <t>THE TABS (left to right)</t>
        </is>
      </c>
    </row>
    <row r="38">
      <c r="A38" s="2" t="inlineStr">
        <is>
          <t xml:space="preserve">  • Deal Summary  — one-page headline view; print/screenshot for lenders &amp; partners.</t>
        </is>
      </c>
    </row>
    <row r="39">
      <c r="A39" s="2" t="inlineStr">
        <is>
          <t xml:space="preserve">  • Deal Scorecard — Linda's metrics + 5 hacks rated GOOD/OK/BAD with its go / conditional / no-go verdict.</t>
        </is>
      </c>
    </row>
    <row r="40">
      <c r="A40" s="2" t="inlineStr">
        <is>
          <t xml:space="preserve">  • Underwriting  — the engine. Fill the YELLOW cells; everything else is a formula.</t>
        </is>
      </c>
    </row>
    <row r="41">
      <c r="A41" s="2" t="inlineStr">
        <is>
          <t xml:space="preserve">  • Normalization — rebuild the seller's NOI with Linda's 4 adjustments; shows the overpayment risk.</t>
        </is>
      </c>
    </row>
    <row r="42">
      <c r="A42" s="2" t="inlineStr">
        <is>
          <t xml:space="preserve">  • Operator &amp; Capital — a hands-off hold: pay an operator, size the value-add capital, see TRUE cash-on-cash.</t>
        </is>
      </c>
    </row>
    <row r="43">
      <c r="A43" s="2" t="inlineStr">
        <is>
          <t xml:space="preserve">  • Offer Structures — Linda's 4-column engine: Seller / Conventional / Partial carry / Full carry, two-lien</t>
        </is>
      </c>
    </row>
    <row r="44">
      <c r="A44" s="2" t="inlineStr">
        <is>
          <t xml:space="preserve">      debt stack, blended rate, and the auto-solved Maximum Allowable Offer (MAO).</t>
        </is>
      </c>
    </row>
    <row r="45">
      <c r="A45" s="2" t="inlineStr">
        <is>
          <t xml:space="preserve">  • Income Detail — optional. Build income from your site mix (long-term + seasonal nightly).</t>
        </is>
      </c>
    </row>
    <row r="46">
      <c r="A46" s="2" t="inlineStr">
        <is>
          <t xml:space="preserve">  • Actuals vs Pro Forma — seller's CURRENT numbers vs your stabilized plan, side by side.</t>
        </is>
      </c>
    </row>
    <row r="47">
      <c r="A47" s="2" t="inlineStr">
        <is>
          <t xml:space="preserve">  • Pro Forma &amp; Returns — 10-year projection, sale reversion, IRR &amp; equity multiple.</t>
        </is>
      </c>
    </row>
    <row r="48">
      <c r="A48" s="2" t="inlineStr">
        <is>
          <t xml:space="preserve">  • Sensitivity   — the Bad-Day Test: CoC &amp; DSCR vs price, interest rate, rent &amp; vacancy.</t>
        </is>
      </c>
    </row>
    <row r="49">
      <c r="A49" s="2" t="inlineStr">
        <is>
          <t xml:space="preserve">  • Loan Sizing   — max purchase price the NOI supports at your target DSCR / debt yield.</t>
        </is>
      </c>
    </row>
    <row r="50">
      <c r="A50" s="2" t="inlineStr"/>
    </row>
    <row r="51">
      <c r="A51" s="3" t="inlineStr">
        <is>
          <t>HOW TO USE IT</t>
        </is>
      </c>
    </row>
    <row r="52">
      <c r="A52" s="2" t="inlineStr">
        <is>
          <t>1. Normalization tab: enter the seller's reported expenses; read off your normalized NOI.</t>
        </is>
      </c>
    </row>
    <row r="53">
      <c r="A53" s="2" t="inlineStr">
        <is>
          <t>2. Underwriting tab: fill the yellow cells using those NORMALIZED numbers, not the seller's.</t>
        </is>
      </c>
    </row>
    <row r="54">
      <c r="A54" s="2" t="inlineStr">
        <is>
          <t>3. Deal Scorecard: read the GOOD/OK/BAD ratings and the GO / CONDITIONAL / NO-GO verdict.</t>
        </is>
      </c>
    </row>
    <row r="55">
      <c r="A55" s="2" t="inlineStr">
        <is>
          <t>4. Sensitivity: run the bad-day stress test. Deal Summary: the one-page headline.</t>
        </is>
      </c>
    </row>
    <row r="56">
      <c r="A56" s="2" t="inlineStr"/>
    </row>
    <row r="57">
      <c r="A57" s="3" t="inlineStr">
        <is>
          <t>RV-PARK / MHP WATCH-OUTS</t>
        </is>
      </c>
    </row>
    <row r="58">
      <c r="A58" s="2" t="inlineStr">
        <is>
          <t xml:space="preserve">  • Nondisclosure states: sellers needn't volunteer problems (failing septic, AC, zoning). Dig.</t>
        </is>
      </c>
    </row>
    <row r="59">
      <c r="A59" s="2" t="inlineStr">
        <is>
          <t xml:space="preserve">  • Transient/nightly income is seasonal and far less stable than annual/monthly tenants.</t>
        </is>
      </c>
    </row>
    <row r="60">
      <c r="A60" s="2" t="inlineStr">
        <is>
          <t xml:space="preserve">  • Utility metering — are sites individually metered, or is the owner eating utilities? (ratio bill-back).</t>
        </is>
      </c>
    </row>
    <row r="61">
      <c r="A61" s="2" t="inlineStr">
        <is>
          <t xml:space="preserve">  • Infrastructure age — septic/sewer, electric pedestals (30/50 amp), water lines = big CapEx.</t>
        </is>
      </c>
    </row>
    <row r="62">
      <c r="A62" s="2" t="inlineStr">
        <is>
          <t xml:space="preserve">  • Property taxes usually RESET on sale — don't trust the seller's current tax line.</t>
        </is>
      </c>
    </row>
    <row r="63">
      <c r="A63" s="2" t="inlineStr"/>
    </row>
    <row r="64">
      <c r="A64" s="2" t="inlineStr">
        <is>
          <t>This is a screening tool, not investment advice. Verify every number and consult professionals.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2" customWidth="1" min="4" max="4"/>
  </cols>
  <sheetData>
    <row r="1" ht="26" customHeight="1">
      <c r="A1" s="4" t="inlineStr">
        <is>
          <t>DEAL SUMMARY</t>
        </is>
      </c>
    </row>
    <row r="2">
      <c r="A2" s="5">
        <f>Underwriting!B3&amp;"  —  "&amp;Underwriting!B4</f>
        <v/>
      </c>
    </row>
    <row r="4" ht="20" customHeight="1">
      <c r="A4" s="6" t="inlineStr">
        <is>
          <t>THE ASSET</t>
        </is>
      </c>
    </row>
    <row r="5">
      <c r="A5" s="7" t="inlineStr">
        <is>
          <t>Number of Sites</t>
        </is>
      </c>
      <c r="B5" s="8">
        <f>Underwriting!B8</f>
        <v/>
      </c>
      <c r="C5" s="7" t="inlineStr">
        <is>
          <t>Purchase Price</t>
        </is>
      </c>
      <c r="D5" s="9">
        <f>Underwriting!B9</f>
        <v/>
      </c>
    </row>
    <row r="6">
      <c r="A6" s="7" t="inlineStr">
        <is>
          <t>Price per Site</t>
        </is>
      </c>
      <c r="B6" s="9">
        <f>Underwriting!B9/Underwriting!B8</f>
        <v/>
      </c>
      <c r="C6" s="7" t="inlineStr">
        <is>
          <t>Year-1 NOI</t>
        </is>
      </c>
      <c r="D6" s="9">
        <f>Underwriting!B40</f>
        <v/>
      </c>
    </row>
    <row r="8" ht="20" customHeight="1">
      <c r="A8" s="6" t="inlineStr">
        <is>
          <t>FINANCING</t>
        </is>
      </c>
    </row>
    <row r="9">
      <c r="A9" s="7" t="inlineStr">
        <is>
          <t>Loan Amount</t>
        </is>
      </c>
      <c r="B9" s="9">
        <f>Underwriting!B54</f>
        <v/>
      </c>
      <c r="C9" s="7" t="inlineStr">
        <is>
          <t>Down Payment (Equity)</t>
        </is>
      </c>
      <c r="D9" s="9">
        <f>Underwriting!B55</f>
        <v/>
      </c>
    </row>
    <row r="10">
      <c r="A10" s="7" t="inlineStr">
        <is>
          <t>Interest Rate</t>
        </is>
      </c>
      <c r="B10" s="10">
        <f>Underwriting!B45</f>
        <v/>
      </c>
      <c r="C10" s="7" t="inlineStr">
        <is>
          <t>Amortization (yrs)</t>
        </is>
      </c>
      <c r="D10" s="8">
        <f>Underwriting!B46</f>
        <v/>
      </c>
    </row>
    <row r="11">
      <c r="A11" s="7" t="inlineStr">
        <is>
          <t>Annual Debt Service</t>
        </is>
      </c>
      <c r="B11" s="9">
        <f>Underwriting!B59</f>
        <v/>
      </c>
      <c r="C11" s="7" t="inlineStr">
        <is>
          <t>Total Cash Required</t>
        </is>
      </c>
      <c r="D11" s="9">
        <f>Underwriting!B57</f>
        <v/>
      </c>
    </row>
    <row r="13" ht="20" customHeight="1">
      <c r="A13" s="6" t="inlineStr">
        <is>
          <t>RETURNS — THE HEADLINE NUMBERS</t>
        </is>
      </c>
    </row>
    <row r="14">
      <c r="A14" s="11" t="inlineStr">
        <is>
          <t>Going-in Cap Rate</t>
        </is>
      </c>
      <c r="B14" s="12">
        <f>Underwriting!B62</f>
        <v/>
      </c>
      <c r="C14" s="11" t="inlineStr">
        <is>
          <t>DSCR</t>
        </is>
      </c>
      <c r="D14" s="13">
        <f>Underwriting!B65</f>
        <v/>
      </c>
    </row>
    <row r="16">
      <c r="A16" s="11" t="inlineStr">
        <is>
          <t>Cash-on-Cash (Yr 1)</t>
        </is>
      </c>
      <c r="B16" s="12">
        <f>Underwriting!B64</f>
        <v/>
      </c>
      <c r="C16" s="11" t="inlineStr">
        <is>
          <t>Debt Yield</t>
        </is>
      </c>
      <c r="D16" s="12">
        <f>Underwriting!B40/Underwriting!B54</f>
        <v/>
      </c>
    </row>
    <row r="18">
      <c r="A18" s="11" t="inlineStr">
        <is>
          <t>Levered IRR</t>
        </is>
      </c>
      <c r="B18" s="12">
        <f>'Pro Forma &amp; Returns'!B18</f>
        <v/>
      </c>
      <c r="C18" s="11" t="inlineStr">
        <is>
          <t>Equity Multiple</t>
        </is>
      </c>
      <c r="D18" s="13">
        <f>'Pro Forma &amp; Returns'!B19</f>
        <v/>
      </c>
    </row>
    <row r="20" ht="20" customHeight="1">
      <c r="A20" s="6" t="inlineStr">
        <is>
          <t>EXIT ASSUMPTIONS</t>
        </is>
      </c>
    </row>
    <row r="21">
      <c r="A21" s="7" t="inlineStr">
        <is>
          <t>Hold Period (yrs)</t>
        </is>
      </c>
      <c r="B21" s="8">
        <f>Underwriting!B49</f>
        <v/>
      </c>
      <c r="C21" s="7" t="inlineStr">
        <is>
          <t>Exit Cap Rate</t>
        </is>
      </c>
      <c r="D21" s="10">
        <f>Underwriting!B50</f>
        <v/>
      </c>
    </row>
    <row r="22">
      <c r="A22" s="7" t="inlineStr">
        <is>
          <t>Annual Rent Growth</t>
        </is>
      </c>
      <c r="B22" s="14">
        <f>Underwriting!B16</f>
        <v/>
      </c>
      <c r="C22" s="7" t="inlineStr">
        <is>
          <t>Annual Expense Growth</t>
        </is>
      </c>
      <c r="D22" s="14">
        <f>Underwriting!B17</f>
        <v/>
      </c>
    </row>
    <row r="24">
      <c r="A24" s="15" t="inlineStr">
        <is>
          <t>Screening tool only — not investment advice. Verify every figure against the seller's T-12 and rent roll.</t>
        </is>
      </c>
    </row>
  </sheetData>
  <mergeCells count="7">
    <mergeCell ref="A1:D1"/>
    <mergeCell ref="A8:D8"/>
    <mergeCell ref="A4:D4"/>
    <mergeCell ref="A20:D20"/>
    <mergeCell ref="A24:D24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7" customWidth="1" min="3" max="3"/>
    <col width="9" customWidth="1" min="4" max="4"/>
    <col width="9" customWidth="1" min="5" max="5"/>
    <col width="9" customWidth="1" min="6" max="6"/>
    <col width="9" customWidth="1" min="7" max="7"/>
    <col width="16" customWidth="1" min="8" max="8"/>
  </cols>
  <sheetData>
    <row r="1" ht="26" customHeight="1">
      <c r="A1" s="4" t="inlineStr">
        <is>
          <t>DEAL SCORECARD — LINDAAI FRAMEWORK</t>
        </is>
      </c>
    </row>
    <row r="2">
      <c r="A2" s="15" t="inlineStr">
        <is>
          <t>Linda's framework. Underwrite to the NORMALIZED NOI (see Normalization tab) before trusting these. GREEN cutoff cells are editable. Part of the LindaAI underwriting framework.</t>
        </is>
      </c>
    </row>
    <row r="4">
      <c r="A4" s="16" t="inlineStr">
        <is>
          <t>Metric</t>
        </is>
      </c>
      <c r="B4" s="16" t="inlineStr">
        <is>
          <t>Deal Value</t>
        </is>
      </c>
      <c r="C4" s="16" t="inlineStr">
        <is>
          <t>Linda's rule</t>
        </is>
      </c>
      <c r="D4" s="16" t="inlineStr">
        <is>
          <t>Good</t>
        </is>
      </c>
      <c r="E4" s="16" t="inlineStr">
        <is>
          <t>OK</t>
        </is>
      </c>
      <c r="F4" s="16" t="inlineStr">
        <is>
          <t>(band)</t>
        </is>
      </c>
      <c r="G4" s="16" t="inlineStr">
        <is>
          <t>(band)</t>
        </is>
      </c>
      <c r="H4" s="16" t="inlineStr">
        <is>
          <t>Rating</t>
        </is>
      </c>
    </row>
    <row r="5" ht="20" customHeight="1">
      <c r="A5" s="6" t="inlineStr">
        <is>
          <t>GO / NO-GO METRICS  (after normalizing the NOI)</t>
        </is>
      </c>
    </row>
    <row r="6">
      <c r="A6" s="17" t="inlineStr">
        <is>
          <t>DSCR</t>
        </is>
      </c>
      <c r="B6" s="18">
        <f>Underwriting!B65</f>
        <v/>
      </c>
      <c r="C6" s="15" t="inlineStr">
        <is>
          <t>Linda floor: 1.35x to GO</t>
        </is>
      </c>
      <c r="D6" s="19" t="n">
        <v>1.5</v>
      </c>
      <c r="E6" s="19" t="n">
        <v>1.35</v>
      </c>
      <c r="H6" s="20">
        <f>IF(B6&gt;=D6,"GOOD",IF(B6&gt;=E6,"OK","BAD"))</f>
        <v/>
      </c>
    </row>
    <row r="7">
      <c r="A7" s="17" t="inlineStr">
        <is>
          <t>Cash-on-Cash Return</t>
        </is>
      </c>
      <c r="B7" s="14">
        <f>Underwriting!B64</f>
        <v/>
      </c>
      <c r="C7" s="15" t="inlineStr">
        <is>
          <t>Linda target: 10%+ to GO</t>
        </is>
      </c>
      <c r="D7" s="21" t="n">
        <v>0.1</v>
      </c>
      <c r="E7" s="21" t="n">
        <v>0.08</v>
      </c>
      <c r="H7" s="20">
        <f>IF(B7&gt;=D7,"GOOD",IF(B7&gt;=E7,"OK","BAD"))</f>
        <v/>
      </c>
    </row>
    <row r="8" ht="20" customHeight="1">
      <c r="A8" s="6" t="inlineStr">
        <is>
          <t>THE 5 QUICK HACKS  (screen any listing in ~2 min)</t>
        </is>
      </c>
    </row>
    <row r="9">
      <c r="A9" s="17" t="inlineStr">
        <is>
          <t>1% Rule  (monthly gross / price)</t>
        </is>
      </c>
      <c r="B9" s="10">
        <f>(Underwriting!B24/12)/Underwriting!B9</f>
        <v/>
      </c>
      <c r="C9" s="15" t="inlineStr">
        <is>
          <t>&gt;=1% likely good</t>
        </is>
      </c>
      <c r="D9" s="22" t="n">
        <v>0.01</v>
      </c>
      <c r="E9" s="22" t="n">
        <v>0.008999999999999999</v>
      </c>
      <c r="H9" s="20">
        <f>IF(B9&gt;=D9,"GOOD",IF(B9&gt;=E9,"OK","BAD"))</f>
        <v/>
      </c>
    </row>
    <row r="10">
      <c r="A10" s="17" t="inlineStr">
        <is>
          <t>10x Rule — GRM  (price / annual gross)</t>
        </is>
      </c>
      <c r="B10" s="18">
        <f>Underwriting!B9/Underwriting!B24</f>
        <v/>
      </c>
      <c r="C10" s="15" t="inlineStr">
        <is>
          <t>&lt;10 ideal; &gt;12 pricey</t>
        </is>
      </c>
      <c r="D10" s="19" t="n">
        <v>10</v>
      </c>
      <c r="E10" s="19" t="n">
        <v>12</v>
      </c>
      <c r="H10" s="20">
        <f>IF(B10&lt;=D10,"GOOD",IF(B10&lt;=E10,"OK","BAD"))</f>
        <v/>
      </c>
    </row>
    <row r="11">
      <c r="A11" s="17" t="inlineStr">
        <is>
          <t>Quick DSCR  (NOI / (price x rate))</t>
        </is>
      </c>
      <c r="B11" s="18">
        <f>Underwriting!B40/(Underwriting!B9*Underwriting!B45)</f>
        <v/>
      </c>
      <c r="C11" s="15" t="inlineStr">
        <is>
          <t>&gt;1.5 good; &lt;1.25 risk</t>
        </is>
      </c>
      <c r="D11" s="19" t="n">
        <v>1.5</v>
      </c>
      <c r="E11" s="19" t="n">
        <v>1.25</v>
      </c>
      <c r="H11" s="20">
        <f>IF(B11&gt;=D11,"GOOD",IF(B11&gt;=E11,"OK","BAD"))</f>
        <v/>
      </c>
    </row>
    <row r="12">
      <c r="A12" s="17" t="inlineStr">
        <is>
          <t>Expense Ratio  (OpEx / gross)</t>
        </is>
      </c>
      <c r="B12" s="14">
        <f>Underwriting!B36</f>
        <v/>
      </c>
      <c r="C12" s="15" t="inlineStr">
        <is>
          <t>35-65% healthy; &lt;30%=fiction</t>
        </is>
      </c>
      <c r="D12" s="21" t="n">
        <v>0.3</v>
      </c>
      <c r="E12" s="21" t="n">
        <v>0.35</v>
      </c>
      <c r="F12" s="21" t="n">
        <v>0.65</v>
      </c>
      <c r="G12" s="21" t="n">
        <v>0.7</v>
      </c>
      <c r="H12" s="20">
        <f>IF(OR(B12&lt;D12,B12&gt;G12),"BAD",IF(AND(B12&gt;=E12,B12&lt;=F12),"GOOD","OK"))</f>
        <v/>
      </c>
    </row>
    <row r="13">
      <c r="A13" s="17" t="inlineStr">
        <is>
          <t>Leverage spread  (cap - interest)</t>
        </is>
      </c>
      <c r="B13" s="14">
        <f>Underwriting!B62-Underwriting!B45</f>
        <v/>
      </c>
      <c r="C13" s="15" t="inlineStr">
        <is>
          <t>cap&gt;rate = positive leverage</t>
        </is>
      </c>
      <c r="D13" s="21" t="n">
        <v>0.02</v>
      </c>
      <c r="E13" s="21" t="n">
        <v>0</v>
      </c>
      <c r="H13" s="20">
        <f>IF(B13&gt;=D13,"GOOD",IF(B13&gt;=E13,"OK","BAD"))</f>
        <v/>
      </c>
    </row>
    <row r="14">
      <c r="A14" s="15" t="inlineStr">
        <is>
          <t>Expense Ratio is a BAND: below D = BAD (NOI likely inflated / 'fiction') · D-E and F-G = OK · E-F = GOOD (healthy) · above G = BAD.  D,E,F,G default to 30/35/65/70%.</t>
        </is>
      </c>
    </row>
    <row r="15" ht="20" customHeight="1">
      <c r="A15" s="6" t="inlineStr">
        <is>
          <t>VERDICT  (Linda's rule: both DSCR and Cash-on-Cash must clear)</t>
        </is>
      </c>
    </row>
    <row r="16">
      <c r="A16" s="7" t="inlineStr">
        <is>
          <t>DSCR clears floor?</t>
        </is>
      </c>
      <c r="B16" s="20">
        <f>IF(B6&gt;=E6,"YES","NO")</f>
        <v/>
      </c>
    </row>
    <row r="17">
      <c r="A17" s="7" t="inlineStr">
        <is>
          <t>Cash-on-Cash clears target?</t>
        </is>
      </c>
      <c r="B17" s="20">
        <f>IF(B7&gt;=D7,"YES","NO")</f>
        <v/>
      </c>
    </row>
    <row r="19">
      <c r="A19" s="23" t="inlineStr">
        <is>
          <t>VERDICT</t>
        </is>
      </c>
      <c r="B19" s="24">
        <f>IF(AND(B6&gt;=E6,B7&gt;=D7),"GO - both clear",IF(OR(B6&gt;=E6,B7&gt;=D7),"CONDITIONAL - restructure","LIKELY NO-GO"))</f>
        <v/>
      </c>
    </row>
    <row r="21">
      <c r="A21" s="7" t="inlineStr">
        <is>
          <t>Red flags (BAD ratings)</t>
        </is>
      </c>
      <c r="B21" s="20">
        <f>COUNTIF(H5:H13,"BAD")</f>
        <v/>
      </c>
    </row>
    <row r="23">
      <c r="A23" s="15" t="inlineStr">
        <is>
          <t>CONDITIONAL means restructure to save it (Linda's 3 levers): (1) lower price to your MAO, (2) ask the seller to carry a slice — blended rate drops, DSCR clears, CoC jumps, (3) more down payment. If none work and the seller won't budge, your underwriting just saved you from an expensive mistake.</t>
        </is>
      </c>
    </row>
  </sheetData>
  <mergeCells count="5">
    <mergeCell ref="A1:H1"/>
    <mergeCell ref="A15:H15"/>
    <mergeCell ref="B19:E19"/>
    <mergeCell ref="A5:H5"/>
    <mergeCell ref="A8:H8"/>
  </mergeCells>
  <conditionalFormatting sqref="H5:H13">
    <cfRule type="cellIs" priority="1" operator="equal" dxfId="0">
      <formula>"GOOD"</formula>
    </cfRule>
    <cfRule type="cellIs" priority="2" operator="equal" dxfId="1">
      <formula>"OK"</formula>
    </cfRule>
    <cfRule type="cellIs" priority="3" operator="equal" dxfId="2">
      <formula>"BAD"</formula>
    </cfRule>
  </conditionalFormatting>
  <conditionalFormatting sqref="B19">
    <cfRule type="expression" priority="4" dxfId="0">
      <formula>LEFT($B$19,2)="GO"</formula>
    </cfRule>
    <cfRule type="expression" priority="5" dxfId="1">
      <formula>ISNUMBER(SEARCH("CONDITIONAL",$B$19))</formula>
    </cfRule>
    <cfRule type="expression" priority="6" dxfId="2">
      <formula>ISNUMBER(SEARCH("NO-GO",$B$19))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2" customWidth="1" min="3" max="3"/>
  </cols>
  <sheetData>
    <row r="1" ht="26" customHeight="1">
      <c r="A1" s="4" t="inlineStr">
        <is>
          <t>RV PARK UNDERWRITING ANALYSIS</t>
        </is>
      </c>
    </row>
    <row r="3">
      <c r="A3" s="17" t="inlineStr">
        <is>
          <t>Property Name</t>
        </is>
      </c>
      <c r="B3" s="25" t="inlineStr">
        <is>
          <t>Enter property name</t>
        </is>
      </c>
      <c r="C3" s="15" t="inlineStr">
        <is>
          <t>Yellow cells = your inputs. Everything else calculates.</t>
        </is>
      </c>
    </row>
    <row r="4">
      <c r="A4" s="17" t="inlineStr">
        <is>
          <t>Location (City, ST)</t>
        </is>
      </c>
      <c r="B4" s="25" t="inlineStr">
        <is>
          <t>City, ST</t>
        </is>
      </c>
    </row>
    <row r="5">
      <c r="A5" s="17" t="inlineStr">
        <is>
          <t>Analysis Date</t>
        </is>
      </c>
      <c r="B5" s="25" t="inlineStr">
        <is>
          <t>2026-06-26</t>
        </is>
      </c>
    </row>
    <row r="7" ht="20" customHeight="1">
      <c r="A7" s="6" t="inlineStr">
        <is>
          <t>DEAL ASSUMPTIONS</t>
        </is>
      </c>
    </row>
    <row r="8">
      <c r="A8" s="17" t="inlineStr">
        <is>
          <t>Number of RV Sites (pads)</t>
        </is>
      </c>
      <c r="B8" s="26" t="n">
        <v>50</v>
      </c>
      <c r="C8" s="15" t="inlineStr">
        <is>
          <t>total rentable pads</t>
        </is>
      </c>
    </row>
    <row r="9">
      <c r="A9" s="17" t="inlineStr">
        <is>
          <t>Purchase Price</t>
        </is>
      </c>
      <c r="B9" s="27" t="n">
        <v>1500000</v>
      </c>
    </row>
    <row r="10">
      <c r="A10" s="17" t="inlineStr">
        <is>
          <t xml:space="preserve">  Price per Site</t>
        </is>
      </c>
      <c r="B10" s="28">
        <f>B9/B8</f>
        <v/>
      </c>
      <c r="C10" s="15" t="inlineStr">
        <is>
          <t>purchase price / sites</t>
        </is>
      </c>
    </row>
    <row r="11">
      <c r="A11" s="17" t="inlineStr">
        <is>
          <t>Avg. Monthly Rent per Site</t>
        </is>
      </c>
      <c r="B11" s="27" t="n">
        <v>450</v>
      </c>
      <c r="C11" s="15" t="inlineStr">
        <is>
          <t>blended lot rent / month</t>
        </is>
      </c>
    </row>
    <row r="12">
      <c r="A12" s="17" t="inlineStr">
        <is>
          <t>Vacancy &amp; Credit Loss %</t>
        </is>
      </c>
      <c r="B12" s="21" t="n">
        <v>0.15</v>
      </c>
      <c r="C12" s="15" t="inlineStr">
        <is>
          <t>economic vacancy</t>
        </is>
      </c>
    </row>
    <row r="13">
      <c r="A13" s="17" t="inlineStr">
        <is>
          <t>Other Income (monthly)</t>
        </is>
      </c>
      <c r="B13" s="27" t="n">
        <v>1500</v>
      </c>
      <c r="C13" s="15" t="inlineStr">
        <is>
          <t>store, laundry, propane, fees</t>
        </is>
      </c>
    </row>
    <row r="14">
      <c r="A14" s="17" t="inlineStr">
        <is>
          <t>Management Fee (% of EGI)</t>
        </is>
      </c>
      <c r="B14" s="21" t="n">
        <v>0.08</v>
      </c>
      <c r="C14" s="15" t="inlineStr">
        <is>
          <t>3rd-party or self-mgmt</t>
        </is>
      </c>
    </row>
    <row r="15">
      <c r="A15" s="17" t="inlineStr">
        <is>
          <t>Replacement Reserves / site / yr</t>
        </is>
      </c>
      <c r="B15" s="27" t="n">
        <v>100</v>
      </c>
      <c r="C15" s="15" t="inlineStr">
        <is>
          <t>capital reserve</t>
        </is>
      </c>
    </row>
    <row r="16">
      <c r="A16" s="17" t="inlineStr">
        <is>
          <t>Annual Rent Growth %</t>
        </is>
      </c>
      <c r="B16" s="21" t="n">
        <v>0.03</v>
      </c>
      <c r="C16" s="15" t="inlineStr">
        <is>
          <t>for multi-year projection</t>
        </is>
      </c>
    </row>
    <row r="17">
      <c r="A17" s="17" t="inlineStr">
        <is>
          <t>Annual Expense Growth %</t>
        </is>
      </c>
      <c r="B17" s="21" t="n">
        <v>0.025</v>
      </c>
      <c r="C17" s="15" t="inlineStr">
        <is>
          <t>for multi-year projection</t>
        </is>
      </c>
    </row>
    <row r="18">
      <c r="A18" s="17" t="inlineStr">
        <is>
          <t>Use Detailed Income Build? (Y/N)</t>
        </is>
      </c>
      <c r="B18" s="29" t="inlineStr">
        <is>
          <t>N</t>
        </is>
      </c>
      <c r="C18" s="15" t="inlineStr">
        <is>
          <t>Y = pull GPR from Income Detail tab</t>
        </is>
      </c>
    </row>
    <row r="20" ht="20" customHeight="1">
      <c r="A20" s="6" t="inlineStr">
        <is>
          <t>INCOME  (Year 1 Stabilized Pro Forma)</t>
        </is>
      </c>
    </row>
    <row r="21">
      <c r="A21" s="17" t="inlineStr">
        <is>
          <t>Gross Potential Rent (GPR)</t>
        </is>
      </c>
      <c r="B21" s="28">
        <f>IF(B18="Y",'Income Detail'!E30,B8*B11*12)</f>
        <v/>
      </c>
      <c r="C21" s="15" t="inlineStr">
        <is>
          <t>auto: site mix or sites x rent</t>
        </is>
      </c>
    </row>
    <row r="22">
      <c r="A22" s="17" t="inlineStr">
        <is>
          <t>Less: Vacancy &amp; Credit Loss</t>
        </is>
      </c>
      <c r="B22" s="28">
        <f>-B21*B12</f>
        <v/>
      </c>
    </row>
    <row r="23">
      <c r="A23" s="17" t="inlineStr">
        <is>
          <t>Plus: Other Income</t>
        </is>
      </c>
      <c r="B23" s="28">
        <f>B13*12</f>
        <v/>
      </c>
    </row>
    <row r="24">
      <c r="A24" s="7" t="inlineStr">
        <is>
          <t>Effective Gross Income (EGI)</t>
        </is>
      </c>
      <c r="B24" s="30">
        <f>B21+B22+B23</f>
        <v/>
      </c>
    </row>
    <row r="26" ht="20" customHeight="1">
      <c r="A26" s="6" t="inlineStr">
        <is>
          <t>OPERATING EXPENSES  (Year 1)</t>
        </is>
      </c>
    </row>
    <row r="27">
      <c r="A27" s="17" t="inlineStr">
        <is>
          <t>Property Taxes</t>
        </is>
      </c>
      <c r="B27" s="27" t="n">
        <v>18000</v>
      </c>
    </row>
    <row r="28">
      <c r="A28" s="17" t="inlineStr">
        <is>
          <t>Insurance</t>
        </is>
      </c>
      <c r="B28" s="27" t="n">
        <v>9000</v>
      </c>
    </row>
    <row r="29">
      <c r="A29" s="17" t="inlineStr">
        <is>
          <t>Utilities (water/sewer/trash/elec)</t>
        </is>
      </c>
      <c r="B29" s="27" t="n">
        <v>36000</v>
      </c>
      <c r="C29" s="15" t="inlineStr">
        <is>
          <t>owner-paid portion</t>
        </is>
      </c>
    </row>
    <row r="30">
      <c r="A30" s="17" t="inlineStr">
        <is>
          <t>Repairs &amp; Maintenance</t>
        </is>
      </c>
      <c r="B30" s="27" t="n">
        <v>15000</v>
      </c>
    </row>
    <row r="31">
      <c r="A31" s="17" t="inlineStr">
        <is>
          <t>Payroll / Onsite Manager</t>
        </is>
      </c>
      <c r="B31" s="27" t="n">
        <v>24000</v>
      </c>
    </row>
    <row r="32">
      <c r="A32" s="17" t="inlineStr">
        <is>
          <t>Marketing, Admin, Office</t>
        </is>
      </c>
      <c r="B32" s="27" t="n">
        <v>8000</v>
      </c>
    </row>
    <row r="33">
      <c r="A33" s="17" t="inlineStr">
        <is>
          <t>Management Fee</t>
        </is>
      </c>
      <c r="B33" s="28">
        <f>B14*B24</f>
        <v/>
      </c>
      <c r="C33" s="15" t="inlineStr">
        <is>
          <t>mgmt % x EGI</t>
        </is>
      </c>
    </row>
    <row r="34">
      <c r="A34" s="17" t="inlineStr">
        <is>
          <t>Replacement Reserves</t>
        </is>
      </c>
      <c r="B34" s="28">
        <f>B15*B8</f>
        <v/>
      </c>
    </row>
    <row r="35">
      <c r="A35" s="7" t="inlineStr">
        <is>
          <t>Total Operating Expenses</t>
        </is>
      </c>
      <c r="B35" s="30">
        <f>SUM(B27:B34)</f>
        <v/>
      </c>
    </row>
    <row r="36">
      <c r="A36" s="17" t="inlineStr">
        <is>
          <t>Operating Expense Ratio</t>
        </is>
      </c>
      <c r="B36" s="31">
        <f>B35/B24</f>
        <v/>
      </c>
      <c r="C36" s="15" t="inlineStr">
        <is>
          <t>OpEx / EGI</t>
        </is>
      </c>
    </row>
    <row r="37">
      <c r="A37" s="17" t="inlineStr">
        <is>
          <t>Expenses per Site</t>
        </is>
      </c>
      <c r="B37" s="28">
        <f>B35/B8</f>
        <v/>
      </c>
    </row>
    <row r="39" ht="20" customHeight="1">
      <c r="A39" s="6" t="inlineStr">
        <is>
          <t>NET OPERATING INCOME</t>
        </is>
      </c>
    </row>
    <row r="40">
      <c r="A40" s="7" t="inlineStr">
        <is>
          <t>Net Operating Income (NOI)</t>
        </is>
      </c>
      <c r="B40" s="32">
        <f>B24-B35</f>
        <v/>
      </c>
    </row>
    <row r="41">
      <c r="A41" s="17" t="inlineStr">
        <is>
          <t>NOI per Site</t>
        </is>
      </c>
      <c r="B41" s="28">
        <f>B40/B8</f>
        <v/>
      </c>
    </row>
    <row r="43" ht="20" customHeight="1">
      <c r="A43" s="6" t="inlineStr">
        <is>
          <t>FINANCING &amp; EXIT ASSUMPTIONS</t>
        </is>
      </c>
    </row>
    <row r="44">
      <c r="A44" s="17" t="inlineStr">
        <is>
          <t>Loan-to-Value (LTV) %</t>
        </is>
      </c>
      <c r="B44" s="21" t="n">
        <v>0.7</v>
      </c>
    </row>
    <row r="45">
      <c r="A45" s="17" t="inlineStr">
        <is>
          <t>Interest Rate %</t>
        </is>
      </c>
      <c r="B45" s="22" t="n">
        <v>0.07000000000000001</v>
      </c>
      <c r="C45" s="15" t="inlineStr">
        <is>
          <t>annual</t>
        </is>
      </c>
    </row>
    <row r="46">
      <c r="A46" s="17" t="inlineStr">
        <is>
          <t>Amortization (years)</t>
        </is>
      </c>
      <c r="B46" s="26" t="n">
        <v>25</v>
      </c>
    </row>
    <row r="47">
      <c r="A47" s="17" t="inlineStr">
        <is>
          <t>Closing Costs %</t>
        </is>
      </c>
      <c r="B47" s="21" t="n">
        <v>0.03</v>
      </c>
      <c r="C47" s="15" t="inlineStr">
        <is>
          <t>of purchase price</t>
        </is>
      </c>
    </row>
    <row r="48">
      <c r="A48" s="17" t="inlineStr">
        <is>
          <t>Initial CapEx / Rehab</t>
        </is>
      </c>
      <c r="B48" s="27" t="n">
        <v>50000</v>
      </c>
      <c r="C48" s="15" t="inlineStr">
        <is>
          <t>day-one improvements</t>
        </is>
      </c>
    </row>
    <row r="49">
      <c r="A49" s="17" t="inlineStr">
        <is>
          <t>Hold Period (years)</t>
        </is>
      </c>
      <c r="B49" s="26" t="n">
        <v>5</v>
      </c>
      <c r="C49" s="15" t="inlineStr">
        <is>
          <t>1-10</t>
        </is>
      </c>
    </row>
    <row r="50">
      <c r="A50" s="17" t="inlineStr">
        <is>
          <t>Exit Cap Rate %</t>
        </is>
      </c>
      <c r="B50" s="22" t="n">
        <v>0.08500000000000001</v>
      </c>
      <c r="C50" s="15" t="inlineStr">
        <is>
          <t>for sale value</t>
        </is>
      </c>
    </row>
    <row r="51">
      <c r="A51" s="17" t="inlineStr">
        <is>
          <t>Selling Costs %</t>
        </is>
      </c>
      <c r="B51" s="21" t="n">
        <v>0.05</v>
      </c>
      <c r="C51" s="15" t="inlineStr">
        <is>
          <t>of sale price</t>
        </is>
      </c>
    </row>
    <row r="53" ht="20" customHeight="1">
      <c r="A53" s="6" t="inlineStr">
        <is>
          <t>DEBT &amp; EQUITY</t>
        </is>
      </c>
    </row>
    <row r="54">
      <c r="A54" s="17" t="inlineStr">
        <is>
          <t>Loan Amount</t>
        </is>
      </c>
      <c r="B54" s="28">
        <f>B9*B44</f>
        <v/>
      </c>
    </row>
    <row r="55">
      <c r="A55" s="17" t="inlineStr">
        <is>
          <t>Down Payment (Equity)</t>
        </is>
      </c>
      <c r="B55" s="28">
        <f>B9-B54</f>
        <v/>
      </c>
    </row>
    <row r="56">
      <c r="A56" s="17" t="inlineStr">
        <is>
          <t>Closing Costs</t>
        </is>
      </c>
      <c r="B56" s="28">
        <f>B9*B47</f>
        <v/>
      </c>
    </row>
    <row r="57">
      <c r="A57" s="7" t="inlineStr">
        <is>
          <t>Total Cash Required</t>
        </is>
      </c>
      <c r="B57" s="30">
        <f>B55+B56+B48</f>
        <v/>
      </c>
    </row>
    <row r="58">
      <c r="A58" s="17" t="inlineStr">
        <is>
          <t>Monthly Debt Payment</t>
        </is>
      </c>
      <c r="B58" s="28">
        <f>PMT(B45/12,B46*12,-B54)</f>
        <v/>
      </c>
    </row>
    <row r="59">
      <c r="A59" s="7" t="inlineStr">
        <is>
          <t>Annual Debt Service</t>
        </is>
      </c>
      <c r="B59" s="9">
        <f>B58*12</f>
        <v/>
      </c>
    </row>
    <row r="61" ht="20" customHeight="1">
      <c r="A61" s="6" t="inlineStr">
        <is>
          <t>KEY RETURN METRICS  (Year 1)</t>
        </is>
      </c>
    </row>
    <row r="62">
      <c r="A62" s="7" t="inlineStr">
        <is>
          <t>Going-in Cap Rate</t>
        </is>
      </c>
      <c r="B62" s="33">
        <f>B40/B9</f>
        <v/>
      </c>
      <c r="C62" s="15" t="inlineStr">
        <is>
          <t>NOI / Price</t>
        </is>
      </c>
    </row>
    <row r="63">
      <c r="A63" s="7" t="inlineStr">
        <is>
          <t>Cash Flow Before Tax (CFBT)</t>
        </is>
      </c>
      <c r="B63" s="32">
        <f>B40-B59</f>
        <v/>
      </c>
    </row>
    <row r="64">
      <c r="A64" s="7" t="inlineStr">
        <is>
          <t>Cash-on-Cash Return</t>
        </is>
      </c>
      <c r="B64" s="33">
        <f>B63/B57</f>
        <v/>
      </c>
      <c r="C64" s="15" t="inlineStr">
        <is>
          <t>CFBT / cash invested</t>
        </is>
      </c>
    </row>
    <row r="65">
      <c r="A65" s="7" t="inlineStr">
        <is>
          <t>Debt Service Coverage (DSCR)</t>
        </is>
      </c>
      <c r="B65" s="34">
        <f>B40/B59</f>
        <v/>
      </c>
      <c r="C65" s="15" t="inlineStr">
        <is>
          <t>lenders want &gt;= 1.25x</t>
        </is>
      </c>
    </row>
    <row r="66">
      <c r="A66" s="17" t="inlineStr">
        <is>
          <t>Gross Rent Multiplier (GRM)</t>
        </is>
      </c>
      <c r="B66" s="35">
        <f>B9/B21</f>
        <v/>
      </c>
    </row>
    <row r="67">
      <c r="A67" s="17" t="inlineStr">
        <is>
          <t>Break-even Occupancy</t>
        </is>
      </c>
      <c r="B67" s="31">
        <f>(B35+B59)/(B21+B23)</f>
        <v/>
      </c>
      <c r="C67" s="15" t="inlineStr">
        <is>
          <t>occupancy to cover costs</t>
        </is>
      </c>
    </row>
    <row r="68">
      <c r="A68" s="17" t="inlineStr">
        <is>
          <t>Debt Yield</t>
        </is>
      </c>
      <c r="B68" s="31">
        <f>B40/B54</f>
        <v/>
      </c>
      <c r="C68" s="15" t="inlineStr">
        <is>
          <t>NOI / loan (lender metric)</t>
        </is>
      </c>
    </row>
  </sheetData>
  <mergeCells count="8">
    <mergeCell ref="A1:C1"/>
    <mergeCell ref="A43:C43"/>
    <mergeCell ref="A61:C61"/>
    <mergeCell ref="A39:C39"/>
    <mergeCell ref="A53:C53"/>
    <mergeCell ref="A26:C26"/>
    <mergeCell ref="A7:C7"/>
    <mergeCell ref="A20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2" customWidth="1" min="4" max="4"/>
  </cols>
  <sheetData>
    <row r="1" ht="26" customHeight="1">
      <c r="A1" s="4" t="inlineStr">
        <is>
          <t>NORMALIZE THE NOI — BUILD YOUR OWN NUMBERS</t>
        </is>
      </c>
    </row>
    <row r="2">
      <c r="A2" s="15" t="inlineStr">
        <is>
          <t>Linda: the T-12 is your starting point but never trusted as-is. Enter the SELLER'S reported figures (yellow); the Normalized column rebuilds the NOI with Linda's 4 adjustments. Part of the LindaAI framework.</t>
        </is>
      </c>
    </row>
    <row r="4" ht="20" customHeight="1">
      <c r="A4" s="6" t="inlineStr">
        <is>
          <t>LINDA'S NORMALIZATION RULES (editable)</t>
        </is>
      </c>
    </row>
    <row r="5">
      <c r="A5" s="17" t="inlineStr">
        <is>
          <t>Management Fee (% of EGI)</t>
        </is>
      </c>
      <c r="B5" s="21" t="n">
        <v>0.1</v>
      </c>
      <c r="D5" s="15" t="inlineStr">
        <is>
          <t>self-managed owners show little or none</t>
        </is>
      </c>
    </row>
    <row r="6">
      <c r="A6" s="17" t="inlineStr">
        <is>
          <t>Repairs &amp; Maintenance (% of EGI)</t>
        </is>
      </c>
      <c r="B6" s="21" t="n">
        <v>0.05</v>
      </c>
      <c r="D6" s="15" t="inlineStr">
        <is>
          <t>or use the prior-year actual</t>
        </is>
      </c>
    </row>
    <row r="7">
      <c r="A7" s="17" t="inlineStr">
        <is>
          <t>CapEx / Reserves (% of EGI)</t>
        </is>
      </c>
      <c r="B7" s="21" t="n">
        <v>0.03</v>
      </c>
      <c r="D7" s="15" t="inlineStr">
        <is>
          <t>a real cost that's rarely in the P&amp;L</t>
        </is>
      </c>
    </row>
    <row r="8">
      <c r="A8" s="17" t="inlineStr">
        <is>
          <t>Property Tax bump (%)</t>
        </is>
      </c>
      <c r="B8" s="21" t="n">
        <v>0.2</v>
      </c>
      <c r="D8" s="15" t="inlineStr">
        <is>
          <t>taxes reset on sale in disclosure states</t>
        </is>
      </c>
    </row>
    <row r="10" ht="20" customHeight="1">
      <c r="A10" s="6" t="inlineStr">
        <is>
          <t>INCOME</t>
        </is>
      </c>
    </row>
    <row r="11">
      <c r="A11" s="17" t="inlineStr">
        <is>
          <t>Effective Gross Income (EGI)</t>
        </is>
      </c>
      <c r="B11" s="27" t="n">
        <v>247500</v>
      </c>
      <c r="C11" s="9">
        <f>B11</f>
        <v/>
      </c>
      <c r="D11" s="15" t="inlineStr">
        <is>
          <t>seller's real top line (Linda: gross income = EGI)</t>
        </is>
      </c>
    </row>
    <row r="13" ht="20" customHeight="1">
      <c r="A13" s="6" t="inlineStr">
        <is>
          <t>OPERATING EXPENSES</t>
        </is>
      </c>
    </row>
    <row r="14">
      <c r="B14" s="16" t="inlineStr">
        <is>
          <t>Seller Reported</t>
        </is>
      </c>
      <c r="C14" s="16" t="inlineStr">
        <is>
          <t>Normalized</t>
        </is>
      </c>
      <c r="D14" s="16" t="inlineStr">
        <is>
          <t>Linda adjustment</t>
        </is>
      </c>
    </row>
    <row r="15">
      <c r="A15" s="17" t="inlineStr">
        <is>
          <t>Property Taxes</t>
        </is>
      </c>
      <c r="B15" s="27" t="n">
        <v>12000</v>
      </c>
      <c r="C15" s="36">
        <f>B15*(1+B8)</f>
        <v/>
      </c>
      <c r="D15" s="15" t="inlineStr">
        <is>
          <t>+20%: resets on sale</t>
        </is>
      </c>
    </row>
    <row r="16">
      <c r="A16" s="17" t="inlineStr">
        <is>
          <t>Insurance</t>
        </is>
      </c>
      <c r="B16" s="27" t="n">
        <v>8000</v>
      </c>
      <c r="C16" s="36">
        <f>B16</f>
        <v/>
      </c>
      <c r="D16" s="15" t="inlineStr">
        <is>
          <t>pass-through</t>
        </is>
      </c>
    </row>
    <row r="17">
      <c r="A17" s="17" t="inlineStr">
        <is>
          <t>Utilities (W/S/trash/elec)</t>
        </is>
      </c>
      <c r="B17" s="27" t="n">
        <v>38000</v>
      </c>
      <c r="C17" s="36">
        <f>B17</f>
        <v/>
      </c>
      <c r="D17" s="15" t="inlineStr">
        <is>
          <t>pass-through</t>
        </is>
      </c>
    </row>
    <row r="18">
      <c r="A18" s="17" t="inlineStr">
        <is>
          <t>Repairs &amp; Maintenance</t>
        </is>
      </c>
      <c r="B18" s="27" t="n">
        <v>4200</v>
      </c>
      <c r="C18" s="36">
        <f>MAX(B18,B6*B11)</f>
        <v/>
      </c>
      <c r="D18" s="15" t="inlineStr">
        <is>
          <t>use &gt;=5%% of EGI (deferred maint)</t>
        </is>
      </c>
    </row>
    <row r="19">
      <c r="A19" s="17" t="inlineStr">
        <is>
          <t>Management Fee</t>
        </is>
      </c>
      <c r="B19" s="27" t="n">
        <v>3500</v>
      </c>
      <c r="C19" s="36">
        <f>MAX(B19,B5*B11)</f>
        <v/>
      </c>
      <c r="D19" s="15" t="inlineStr">
        <is>
          <t>use &gt;=10%% of EGI (self-mgmt understates)</t>
        </is>
      </c>
    </row>
    <row r="20">
      <c r="A20" s="17" t="inlineStr">
        <is>
          <t>CapEx / Reserves</t>
        </is>
      </c>
      <c r="B20" s="27" t="n">
        <v>0</v>
      </c>
      <c r="C20" s="36">
        <f>MAX(B20,B7*B11)</f>
        <v/>
      </c>
      <c r="D20" s="15" t="inlineStr">
        <is>
          <t>add &gt;=3%% of EGI (never in P&amp;L)</t>
        </is>
      </c>
    </row>
    <row r="21">
      <c r="A21" s="17" t="inlineStr">
        <is>
          <t>Payroll / Onsite</t>
        </is>
      </c>
      <c r="B21" s="27" t="n">
        <v>0</v>
      </c>
      <c r="C21" s="36">
        <f>B21</f>
        <v/>
      </c>
      <c r="D21" s="15" t="inlineStr">
        <is>
          <t>pass-through</t>
        </is>
      </c>
    </row>
    <row r="22">
      <c r="A22" s="17" t="inlineStr">
        <is>
          <t>Marketing / Admin / Other</t>
        </is>
      </c>
      <c r="B22" s="27" t="n">
        <v>6000</v>
      </c>
      <c r="C22" s="36">
        <f>B22</f>
        <v/>
      </c>
      <c r="D22" s="15" t="inlineStr">
        <is>
          <t>pass-through</t>
        </is>
      </c>
    </row>
    <row r="23">
      <c r="A23" s="7" t="inlineStr">
        <is>
          <t>Total Operating Expenses</t>
        </is>
      </c>
      <c r="B23" s="30">
        <f>SUM(B15:B22)</f>
        <v/>
      </c>
      <c r="C23" s="30">
        <f>SUM(C15:C22)</f>
        <v/>
      </c>
    </row>
    <row r="24">
      <c r="A24" s="17" t="inlineStr">
        <is>
          <t>Expense Ratio</t>
        </is>
      </c>
      <c r="B24" s="37">
        <f>B23/B11</f>
        <v/>
      </c>
      <c r="C24" s="37">
        <f>C23/C11</f>
        <v/>
      </c>
      <c r="D24" s="15" t="inlineStr">
        <is>
          <t>Linda: under 30% means something's missing</t>
        </is>
      </c>
    </row>
    <row r="26" ht="20" customHeight="1">
      <c r="A26" s="6" t="inlineStr">
        <is>
          <t>RESULT</t>
        </is>
      </c>
    </row>
    <row r="27">
      <c r="A27" s="7" t="inlineStr">
        <is>
          <t>Net Operating Income (NOI)</t>
        </is>
      </c>
      <c r="B27" s="32">
        <f>B11-B23</f>
        <v/>
      </c>
      <c r="C27" s="32">
        <f>C11-C23</f>
        <v/>
      </c>
    </row>
    <row r="28">
      <c r="A28" s="7" t="inlineStr">
        <is>
          <t>NOI Haircut ($ cut from seller's NOI)</t>
        </is>
      </c>
      <c r="C28" s="9">
        <f>B27-C27</f>
        <v/>
      </c>
    </row>
    <row r="29">
      <c r="A29" s="17" t="inlineStr">
        <is>
          <t>NOI Haircut (%)</t>
        </is>
      </c>
      <c r="C29" s="37">
        <f>(B27-C27)/B27</f>
        <v/>
      </c>
    </row>
    <row r="30">
      <c r="A30" s="17" t="inlineStr">
        <is>
          <t>Valuation Cap Rate (for overpayment calc)</t>
        </is>
      </c>
      <c r="B30" s="22" t="n">
        <v>0.1</v>
      </c>
    </row>
    <row r="31">
      <c r="A31" s="38" t="inlineStr">
        <is>
          <t>OVERPAYMENT RISK  (haircut / cap rate)</t>
        </is>
      </c>
      <c r="C31" s="39">
        <f>(B27-C27)/B30</f>
        <v/>
      </c>
      <c r="D31" s="15" t="inlineStr">
        <is>
          <t>Linda: a small NOI cut = a huge price difference</t>
        </is>
      </c>
    </row>
    <row r="33">
      <c r="A33" s="15" t="inlineStr">
        <is>
          <t>NEXT: carry the NORMALIZED expense figures (column C) into the Underwriting tab so every metric and the Deal Scorecard reflect YOUR numbers, not the seller's.</t>
        </is>
      </c>
    </row>
  </sheetData>
  <mergeCells count="5">
    <mergeCell ref="A1:D1"/>
    <mergeCell ref="A4:D4"/>
    <mergeCell ref="A26:D26"/>
    <mergeCell ref="A10:D10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2" customWidth="1" min="3" max="3"/>
  </cols>
  <sheetData>
    <row r="1" ht="26" customHeight="1">
      <c r="A1" s="4" t="inlineStr">
        <is>
          <t>OPERATOR &amp; VALUE-ADD CAPITAL</t>
        </is>
      </c>
    </row>
    <row r="2">
      <c r="A2" s="15" t="inlineStr">
        <is>
          <t>A hands-off hold: always pay a professional operator, and size the capital to finish/expand. This tab overlays the Underwriting tab so the returns reflect what you ACTUALLY pocket.</t>
        </is>
      </c>
    </row>
    <row r="4" ht="20" customHeight="1">
      <c r="A4" s="6" t="inlineStr">
        <is>
          <t>OPERATOR  (this is a hands-off hold — always budget one)</t>
        </is>
      </c>
    </row>
    <row r="5">
      <c r="A5" s="17" t="inlineStr">
        <is>
          <t>NOI before operator</t>
        </is>
      </c>
      <c r="B5" s="28">
        <f>Underwriting!B40+Underwriting!B33</f>
        <v/>
      </c>
      <c r="C5" s="15">
        <f> Underwriting NOI + its management line (added back)</f>
        <v/>
      </c>
    </row>
    <row r="6">
      <c r="A6" s="17" t="inlineStr">
        <is>
          <t>Operator Fee ($ / month)</t>
        </is>
      </c>
      <c r="B6" s="27" t="n">
        <v>4000</v>
      </c>
      <c r="C6" s="15" t="inlineStr">
        <is>
          <t>flat full-service operator; market mgmt runs ~10-12% of EGI</t>
        </is>
      </c>
    </row>
    <row r="7">
      <c r="A7" s="17" t="inlineStr">
        <is>
          <t>Operator Fee (annual)</t>
        </is>
      </c>
      <c r="B7" s="28">
        <f>B6*12</f>
        <v/>
      </c>
    </row>
    <row r="8">
      <c r="A8" s="7" t="inlineStr">
        <is>
          <t>NOI after operator</t>
        </is>
      </c>
      <c r="B8" s="32">
        <f>B5-B7</f>
        <v/>
      </c>
    </row>
    <row r="9">
      <c r="A9" s="17" t="inlineStr">
        <is>
          <t>Annual Debt Service (from Underwriting)</t>
        </is>
      </c>
      <c r="B9" s="28">
        <f>Underwriting!B59</f>
        <v/>
      </c>
    </row>
    <row r="10">
      <c r="A10" s="7" t="inlineStr">
        <is>
          <t>Cash Flow after operator (annual)</t>
        </is>
      </c>
      <c r="B10" s="9">
        <f>B8-B9</f>
        <v/>
      </c>
    </row>
    <row r="11">
      <c r="A11" s="7" t="inlineStr">
        <is>
          <t>Cash Flow after operator (MONTHLY)</t>
        </is>
      </c>
      <c r="B11" s="32">
        <f>B10/12</f>
        <v/>
      </c>
    </row>
    <row r="12">
      <c r="A12" s="7" t="inlineStr">
        <is>
          <t>Max operator you can afford ($/mo)</t>
        </is>
      </c>
      <c r="B12" s="40">
        <f>(B5-B9)/12</f>
        <v/>
      </c>
      <c r="C12" s="15" t="inlineStr">
        <is>
          <t>break-even ceiling on today's income</t>
        </is>
      </c>
    </row>
    <row r="13">
      <c r="A13" s="17" t="inlineStr">
        <is>
          <t>DSCR after operator</t>
        </is>
      </c>
      <c r="B13" s="35">
        <f>IF(B9=0,"n/a",B8/B9)</f>
        <v/>
      </c>
    </row>
    <row r="15" ht="20" customHeight="1">
      <c r="A15" s="6" t="inlineStr">
        <is>
          <t>VALUE-ADD CAPITAL  (sources &amp; uses — ON TOP of the down payment)</t>
        </is>
      </c>
    </row>
    <row r="16">
      <c r="A16" s="17" t="inlineStr">
        <is>
          <t>Finish cabins</t>
        </is>
      </c>
      <c r="B16" s="27" t="n">
        <v>0</v>
      </c>
      <c r="C16" s="15" t="inlineStr">
        <is>
          <t>usually highest ROI — near-term income</t>
        </is>
      </c>
    </row>
    <row r="17">
      <c r="A17" s="17" t="inlineStr">
        <is>
          <t>Finish house / interior</t>
        </is>
      </c>
      <c r="B17" s="27" t="n">
        <v>0</v>
      </c>
      <c r="C17" s="15" t="inlineStr">
        <is>
          <t>often marginal — manager housing or defer</t>
        </is>
      </c>
    </row>
    <row r="18">
      <c r="A18" s="17" t="inlineStr">
        <is>
          <t>Expand pads / development</t>
        </is>
      </c>
      <c r="B18" s="27" t="n">
        <v>0</v>
      </c>
      <c r="C18" s="15" t="inlineStr">
        <is>
          <t>phased — needs utilities + permits</t>
        </is>
      </c>
    </row>
    <row r="19">
      <c r="A19" s="17" t="inlineStr">
        <is>
          <t>Infrastructure / contingency</t>
        </is>
      </c>
      <c r="B19" s="27" t="n">
        <v>0</v>
      </c>
      <c r="C19" s="15" t="inlineStr">
        <is>
          <t>septic/sewer eval, reserve</t>
        </is>
      </c>
    </row>
    <row r="20">
      <c r="A20" s="7" t="inlineStr">
        <is>
          <t>Total Value-Add Capital</t>
        </is>
      </c>
      <c r="B20" s="30">
        <f>SUM(B16:B19)</f>
        <v/>
      </c>
    </row>
    <row r="21">
      <c r="A21" s="7" t="inlineStr">
        <is>
          <t>Total Cash Invested (all-in)</t>
        </is>
      </c>
      <c r="B21" s="32">
        <f>Underwriting!B57+B20</f>
        <v/>
      </c>
      <c r="C21" s="15" t="inlineStr">
        <is>
          <t>down + closing + day-one capex + value-add</t>
        </is>
      </c>
    </row>
    <row r="22">
      <c r="A22" s="17" t="inlineStr">
        <is>
          <t>True Cash-on-Cash (today, after operator)</t>
        </is>
      </c>
      <c r="B22" s="31">
        <f>IF(B21=0,0,B10/B21)</f>
        <v/>
      </c>
      <c r="C22" s="15" t="inlineStr">
        <is>
          <t>today's cash flow / all-in cash invested</t>
        </is>
      </c>
    </row>
    <row r="24" ht="20" customHeight="1">
      <c r="A24" s="6" t="inlineStr">
        <is>
          <t>STABILIZED  (once the build is done — enter your target NOI)</t>
        </is>
      </c>
    </row>
    <row r="25">
      <c r="A25" s="17" t="inlineStr">
        <is>
          <t>Stabilized NOI before operator</t>
        </is>
      </c>
      <c r="B25" s="27" t="n">
        <v>0</v>
      </c>
      <c r="C25" s="15" t="inlineStr">
        <is>
          <t>cabins leased, rents to market, house online</t>
        </is>
      </c>
    </row>
    <row r="26">
      <c r="A26" s="7" t="inlineStr">
        <is>
          <t>Stabilized NOI after operator</t>
        </is>
      </c>
      <c r="B26" s="9">
        <f>IF(B25=0,0,B25-B7)</f>
        <v/>
      </c>
    </row>
    <row r="27">
      <c r="A27" s="17" t="inlineStr">
        <is>
          <t>Stabilized Cash Flow (annual)</t>
        </is>
      </c>
      <c r="B27" s="28">
        <f>IF(B25=0,0,B26-B9)</f>
        <v/>
      </c>
    </row>
    <row r="28">
      <c r="A28" s="7" t="inlineStr">
        <is>
          <t>Stabilized Cash Flow (MONTHLY)</t>
        </is>
      </c>
      <c r="B28" s="32">
        <f>IF(B25=0,0,B27/12)</f>
        <v/>
      </c>
    </row>
    <row r="29">
      <c r="A29" s="7" t="inlineStr">
        <is>
          <t>Stabilized True Cash-on-Cash</t>
        </is>
      </c>
      <c r="B29" s="33">
        <f>IF(OR(B25=0,B21=0),0,B27/B21)</f>
        <v/>
      </c>
    </row>
    <row r="31">
      <c r="A31" s="15" t="inlineStr">
        <is>
          <t>RULE: don't pay the seller for value YOU create with this capital (cabins, house, expansion). Require him to finish income-marketed items before close, or credit you the cost.</t>
        </is>
      </c>
    </row>
  </sheetData>
  <mergeCells count="4">
    <mergeCell ref="A1:C1"/>
    <mergeCell ref="A4:C4"/>
    <mergeCell ref="A24:C24"/>
    <mergeCell ref="A15:C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26" customHeight="1">
      <c r="A1" s="4" t="inlineStr">
        <is>
          <t>OFFER STRUCTURES — MAO &amp; SELLER CARRY (LINDA FRAMEWORK)</t>
        </is>
      </c>
    </row>
    <row r="2">
      <c r="A2" s="15" t="inlineStr">
        <is>
          <t>NOI is held constant (operations don't change with financing). Each column is a price + financing scenario; yellow = editable levers. Verdict uses Linda's rule: DSCR &gt;= target AND Cash-on-Cash &gt;= target.</t>
        </is>
      </c>
    </row>
    <row r="4" ht="20" customHeight="1">
      <c r="A4" s="6" t="inlineStr">
        <is>
          <t>MAXIMUM ALLOWABLE OFFER — auto-solved (conventional financing)</t>
        </is>
      </c>
    </row>
    <row r="5">
      <c r="A5" s="17" t="inlineStr">
        <is>
          <t>Target DSCR</t>
        </is>
      </c>
      <c r="B5" s="19" t="n">
        <v>1.35</v>
      </c>
      <c r="C5" s="15" t="inlineStr">
        <is>
          <t>Linda floor</t>
        </is>
      </c>
    </row>
    <row r="6">
      <c r="A6" s="17" t="inlineStr">
        <is>
          <t>Target Cash-on-Cash</t>
        </is>
      </c>
      <c r="B6" s="21" t="n">
        <v>0.1</v>
      </c>
      <c r="C6" s="15" t="inlineStr">
        <is>
          <t>Linda target</t>
        </is>
      </c>
    </row>
    <row r="7">
      <c r="A7" s="17" t="inlineStr">
        <is>
          <t>Bank LTV % (conventional)</t>
        </is>
      </c>
      <c r="B7" s="21" t="n">
        <v>0.7</v>
      </c>
      <c r="C7" s="15" t="inlineStr">
        <is>
          <t>loan-to-value for the conventional offer</t>
        </is>
      </c>
    </row>
    <row r="8">
      <c r="A8" s="17" t="inlineStr">
        <is>
          <t>Bank Interest Rate</t>
        </is>
      </c>
      <c r="B8" s="22" t="n">
        <v>0.07000000000000001</v>
      </c>
    </row>
    <row r="9">
      <c r="A9" s="17" t="inlineStr">
        <is>
          <t>Amortization (yrs)</t>
        </is>
      </c>
      <c r="B9" s="26" t="n">
        <v>25</v>
      </c>
    </row>
    <row r="10">
      <c r="A10" s="17" t="inlineStr">
        <is>
          <t>NOI (from Underwriting)</t>
        </is>
      </c>
      <c r="B10" s="28">
        <f>Underwriting!B40</f>
        <v/>
      </c>
    </row>
    <row r="11">
      <c r="A11" s="17" t="inlineStr">
        <is>
          <t>Annual Debt Constant k (per $1 loan)</t>
        </is>
      </c>
      <c r="B11" s="41">
        <f>PMT(B8/12,B9*12,-1)*12</f>
        <v/>
      </c>
      <c r="C11" s="15" t="inlineStr">
        <is>
          <t>annual debt service per $1 borrowed</t>
        </is>
      </c>
    </row>
    <row r="12">
      <c r="A12" s="17" t="inlineStr">
        <is>
          <t>Max Price @ DSCR target</t>
        </is>
      </c>
      <c r="B12" s="28">
        <f>B10/(B5*B7*B11)</f>
        <v/>
      </c>
      <c r="C12" s="15" t="inlineStr">
        <is>
          <t>DSCR-constrained ceiling</t>
        </is>
      </c>
    </row>
    <row r="13">
      <c r="A13" s="17" t="inlineStr">
        <is>
          <t>Max Price @ Cash-on-Cash target</t>
        </is>
      </c>
      <c r="B13" s="28">
        <f>(B10-B6*Underwriting!B48)/(B7*B11+B6*(1-B7+Underwriting!B47))</f>
        <v/>
      </c>
      <c r="C13" s="15" t="inlineStr">
        <is>
          <t>CoC-constrained ceiling</t>
        </is>
      </c>
    </row>
    <row r="14">
      <c r="A14" s="42" t="inlineStr">
        <is>
          <t>MAXIMUM ALLOWABLE OFFER (MAO)</t>
        </is>
      </c>
      <c r="B14" s="43">
        <f>MIN(B12,B13)</f>
        <v/>
      </c>
      <c r="C14" s="15" t="inlineStr">
        <is>
          <t>highest price where BOTH clear</t>
        </is>
      </c>
    </row>
    <row r="16" ht="20" customHeight="1">
      <c r="A16" s="6" t="inlineStr">
        <is>
          <t>OFFER COMPARISON  (type any price/structure — verdict updates live)</t>
        </is>
      </c>
    </row>
    <row r="17" ht="30" customHeight="1">
      <c r="A17" s="44" t="inlineStr">
        <is>
          <t>Lever / Metric</t>
        </is>
      </c>
      <c r="B17" s="44" t="inlineStr">
        <is>
          <t>Seller Asking</t>
        </is>
      </c>
      <c r="C17" s="44" t="inlineStr">
        <is>
          <t>Offer 1: Conventional</t>
        </is>
      </c>
      <c r="D17" s="44" t="inlineStr">
        <is>
          <t>Offer 2: Partial Carry</t>
        </is>
      </c>
      <c r="E17" s="44" t="inlineStr">
        <is>
          <t>Offer 3: Full Carry</t>
        </is>
      </c>
    </row>
    <row r="18">
      <c r="A18" s="17" t="inlineStr">
        <is>
          <t>Purchase Price</t>
        </is>
      </c>
      <c r="B18" s="27" t="n">
        <v>1500000</v>
      </c>
      <c r="C18" s="27" t="n">
        <v>1150000</v>
      </c>
      <c r="D18" s="27" t="n">
        <v>1500000</v>
      </c>
      <c r="E18" s="27" t="n">
        <v>1500000</v>
      </c>
      <c r="F18" s="15" t="inlineStr">
        <is>
          <t>Offer 1 defaults near the MAO above — type your own to test</t>
        </is>
      </c>
    </row>
    <row r="19">
      <c r="A19" s="17" t="inlineStr">
        <is>
          <t>Bank Loan % (of price)</t>
        </is>
      </c>
      <c r="B19" s="21" t="n">
        <v>0.7</v>
      </c>
      <c r="C19" s="21" t="n">
        <v>0.7</v>
      </c>
      <c r="D19" s="21" t="n">
        <v>0.65</v>
      </c>
      <c r="E19" s="21" t="n">
        <v>0</v>
      </c>
    </row>
    <row r="20">
      <c r="A20" s="17" t="inlineStr">
        <is>
          <t>Bank Interest Rate</t>
        </is>
      </c>
      <c r="B20" s="22" t="n">
        <v>0.07000000000000001</v>
      </c>
      <c r="C20" s="22" t="n">
        <v>0.07000000000000001</v>
      </c>
      <c r="D20" s="22" t="n">
        <v>0.07000000000000001</v>
      </c>
      <c r="E20" s="22" t="n">
        <v>0.07000000000000001</v>
      </c>
    </row>
    <row r="21">
      <c r="A21" s="17" t="inlineStr">
        <is>
          <t>Bank Amortization (yrs)</t>
        </is>
      </c>
      <c r="B21" s="26" t="n">
        <v>25</v>
      </c>
      <c r="C21" s="26" t="n">
        <v>25</v>
      </c>
      <c r="D21" s="26" t="n">
        <v>25</v>
      </c>
      <c r="E21" s="26" t="n">
        <v>25</v>
      </c>
    </row>
    <row r="22">
      <c r="A22" s="17" t="inlineStr">
        <is>
          <t>Bank Interest-Only? (Y/N)</t>
        </is>
      </c>
      <c r="B22" s="29" t="inlineStr">
        <is>
          <t>N</t>
        </is>
      </c>
      <c r="C22" s="29" t="inlineStr">
        <is>
          <t>N</t>
        </is>
      </c>
      <c r="D22" s="29" t="inlineStr">
        <is>
          <t>N</t>
        </is>
      </c>
      <c r="E22" s="29" t="inlineStr">
        <is>
          <t>N</t>
        </is>
      </c>
    </row>
    <row r="23">
      <c r="A23" s="17" t="inlineStr">
        <is>
          <t>Seller Carry % (of price)</t>
        </is>
      </c>
      <c r="B23" s="21" t="n">
        <v>0</v>
      </c>
      <c r="C23" s="21" t="n">
        <v>0</v>
      </c>
      <c r="D23" s="21" t="n">
        <v>0.25</v>
      </c>
      <c r="E23" s="21" t="n">
        <v>0.9</v>
      </c>
    </row>
    <row r="24">
      <c r="A24" s="17" t="inlineStr">
        <is>
          <t>Seller Carry Rate</t>
        </is>
      </c>
      <c r="B24" s="22" t="n">
        <v>0</v>
      </c>
      <c r="C24" s="22" t="n">
        <v>0</v>
      </c>
      <c r="D24" s="22" t="n">
        <v>0.05</v>
      </c>
      <c r="E24" s="22" t="n">
        <v>0.06</v>
      </c>
    </row>
    <row r="25">
      <c r="A25" s="17" t="inlineStr">
        <is>
          <t>Seller Carry Amort (yrs)</t>
        </is>
      </c>
      <c r="B25" s="26" t="n">
        <v>25</v>
      </c>
      <c r="C25" s="26" t="n">
        <v>25</v>
      </c>
      <c r="D25" s="26" t="n">
        <v>25</v>
      </c>
      <c r="E25" s="26" t="n">
        <v>25</v>
      </c>
    </row>
    <row r="26">
      <c r="A26" s="17" t="inlineStr">
        <is>
          <t>Seller Carry Interest-Only? (Y/N)</t>
        </is>
      </c>
      <c r="B26" s="29" t="inlineStr">
        <is>
          <t>N</t>
        </is>
      </c>
      <c r="C26" s="29" t="inlineStr">
        <is>
          <t>N</t>
        </is>
      </c>
      <c r="D26" s="29" t="inlineStr">
        <is>
          <t>N</t>
        </is>
      </c>
      <c r="E26" s="29" t="inlineStr">
        <is>
          <t>Y</t>
        </is>
      </c>
    </row>
    <row r="27">
      <c r="A27" s="17" t="inlineStr">
        <is>
          <t>Down Payment %</t>
        </is>
      </c>
      <c r="B27" s="31">
        <f>1-B19-B23</f>
        <v/>
      </c>
      <c r="C27" s="31">
        <f>1-C19-C23</f>
        <v/>
      </c>
      <c r="D27" s="31">
        <f>1-D19-D23</f>
        <v/>
      </c>
      <c r="E27" s="31">
        <f>1-E19-E23</f>
        <v/>
      </c>
    </row>
    <row r="28" ht="20" customHeight="1">
      <c r="A28" s="6" t="inlineStr">
        <is>
          <t>DEBT STACK</t>
        </is>
      </c>
    </row>
    <row r="29">
      <c r="A29" s="17" t="inlineStr">
        <is>
          <t>Bank Loan $</t>
        </is>
      </c>
      <c r="B29" s="28">
        <f>B18*B19</f>
        <v/>
      </c>
      <c r="C29" s="28">
        <f>C18*C19</f>
        <v/>
      </c>
      <c r="D29" s="28">
        <f>D18*D19</f>
        <v/>
      </c>
      <c r="E29" s="28">
        <f>E18*E19</f>
        <v/>
      </c>
    </row>
    <row r="30">
      <c r="A30" s="17" t="inlineStr">
        <is>
          <t>Bank Annual Debt Service</t>
        </is>
      </c>
      <c r="B30" s="28">
        <f>IF(B22="Y",B29*B20,PMT(B20/12,B21*12,-B29)*12)</f>
        <v/>
      </c>
      <c r="C30" s="28">
        <f>IF(C22="Y",C29*C20,PMT(C20/12,C21*12,-C29)*12)</f>
        <v/>
      </c>
      <c r="D30" s="28">
        <f>IF(D22="Y",D29*D20,PMT(D20/12,D21*12,-D29)*12)</f>
        <v/>
      </c>
      <c r="E30" s="28">
        <f>IF(E22="Y",E29*E20,PMT(E20/12,E21*12,-E29)*12)</f>
        <v/>
      </c>
    </row>
    <row r="31">
      <c r="A31" s="17" t="inlineStr">
        <is>
          <t>Seller Carry $</t>
        </is>
      </c>
      <c r="B31" s="28">
        <f>B18*B23</f>
        <v/>
      </c>
      <c r="C31" s="28">
        <f>C18*C23</f>
        <v/>
      </c>
      <c r="D31" s="28">
        <f>D18*D23</f>
        <v/>
      </c>
      <c r="E31" s="28">
        <f>E18*E23</f>
        <v/>
      </c>
    </row>
    <row r="32">
      <c r="A32" s="17" t="inlineStr">
        <is>
          <t>Seller Carry Annual Debt Service</t>
        </is>
      </c>
      <c r="B32" s="28">
        <f>IF(B31=0,0,IF(B26="Y",B31*B24,PMT(B24/12,B25*12,-B31)*12))</f>
        <v/>
      </c>
      <c r="C32" s="28">
        <f>IF(C31=0,0,IF(C26="Y",C31*C24,PMT(C24/12,C25*12,-C31)*12))</f>
        <v/>
      </c>
      <c r="D32" s="28">
        <f>IF(D31=0,0,IF(D26="Y",D31*D24,PMT(D24/12,D25*12,-D31)*12))</f>
        <v/>
      </c>
      <c r="E32" s="28">
        <f>IF(E31=0,0,IF(E26="Y",E31*E24,PMT(E24/12,E25*12,-E31)*12))</f>
        <v/>
      </c>
    </row>
    <row r="33">
      <c r="A33" s="7" t="inlineStr">
        <is>
          <t>Total Annual Debt Service</t>
        </is>
      </c>
      <c r="B33" s="30">
        <f>B30+B32</f>
        <v/>
      </c>
      <c r="C33" s="30">
        <f>C30+C32</f>
        <v/>
      </c>
      <c r="D33" s="30">
        <f>D30+D32</f>
        <v/>
      </c>
      <c r="E33" s="30">
        <f>E30+E32</f>
        <v/>
      </c>
    </row>
    <row r="34">
      <c r="A34" s="17" t="inlineStr">
        <is>
          <t>Blended Rate</t>
        </is>
      </c>
      <c r="B34" s="45">
        <f>IF((B29+B31)=0,0,(B29*B20+B31*B24)/(B29+B31))</f>
        <v/>
      </c>
      <c r="C34" s="45">
        <f>IF((C29+C31)=0,0,(C29*C20+C31*C24)/(C29+C31))</f>
        <v/>
      </c>
      <c r="D34" s="45">
        <f>IF((D29+D31)=0,0,(D29*D20+D31*D24)/(D29+D31))</f>
        <v/>
      </c>
      <c r="E34" s="45">
        <f>IF((E29+E31)=0,0,(E29*E20+E31*E24)/(E29+E31))</f>
        <v/>
      </c>
    </row>
    <row r="35">
      <c r="A35" s="17" t="inlineStr">
        <is>
          <t>Down Payment $</t>
        </is>
      </c>
      <c r="B35" s="28">
        <f>B18*B27</f>
        <v/>
      </c>
      <c r="C35" s="28">
        <f>C18*C27</f>
        <v/>
      </c>
      <c r="D35" s="28">
        <f>D18*D27</f>
        <v/>
      </c>
      <c r="E35" s="28">
        <f>E18*E27</f>
        <v/>
      </c>
    </row>
    <row r="36">
      <c r="A36" s="17" t="inlineStr">
        <is>
          <t>Closing + CapEx</t>
        </is>
      </c>
      <c r="B36" s="28">
        <f>B18*Underwriting!B47+Underwriting!B48</f>
        <v/>
      </c>
      <c r="C36" s="28">
        <f>C18*Underwriting!B47+Underwriting!B48</f>
        <v/>
      </c>
      <c r="D36" s="28">
        <f>D18*Underwriting!B47+Underwriting!B48</f>
        <v/>
      </c>
      <c r="E36" s="28">
        <f>E18*Underwriting!B47+Underwriting!B48</f>
        <v/>
      </c>
    </row>
    <row r="37">
      <c r="A37" s="7" t="inlineStr">
        <is>
          <t>Total Cash Invested</t>
        </is>
      </c>
      <c r="B37" s="30">
        <f>B35+B36</f>
        <v/>
      </c>
      <c r="C37" s="30">
        <f>C35+C36</f>
        <v/>
      </c>
      <c r="D37" s="30">
        <f>D35+D36</f>
        <v/>
      </c>
      <c r="E37" s="30">
        <f>E35+E36</f>
        <v/>
      </c>
    </row>
    <row r="38" ht="20" customHeight="1">
      <c r="A38" s="6" t="inlineStr">
        <is>
          <t>KEY METRICS</t>
        </is>
      </c>
    </row>
    <row r="39">
      <c r="A39" s="17" t="inlineStr">
        <is>
          <t>NOI (constant)</t>
        </is>
      </c>
      <c r="B39" s="28">
        <f>Underwriting!B40</f>
        <v/>
      </c>
      <c r="C39" s="28">
        <f>Underwriting!B40</f>
        <v/>
      </c>
      <c r="D39" s="28">
        <f>Underwriting!B40</f>
        <v/>
      </c>
      <c r="E39" s="28">
        <f>Underwriting!B40</f>
        <v/>
      </c>
    </row>
    <row r="40">
      <c r="A40" s="17" t="inlineStr">
        <is>
          <t>Cap Rate</t>
        </is>
      </c>
      <c r="B40" s="31">
        <f>B39/B18</f>
        <v/>
      </c>
      <c r="C40" s="31">
        <f>C39/C18</f>
        <v/>
      </c>
      <c r="D40" s="31">
        <f>D39/D18</f>
        <v/>
      </c>
      <c r="E40" s="31">
        <f>E39/E18</f>
        <v/>
      </c>
    </row>
    <row r="41">
      <c r="A41" s="7" t="inlineStr">
        <is>
          <t>DSCR (total debt)</t>
        </is>
      </c>
      <c r="B41" s="18">
        <f>IF(B33=0,"n/a",B39/B33)</f>
        <v/>
      </c>
      <c r="C41" s="18">
        <f>IF(C33=0,"n/a",C39/C33)</f>
        <v/>
      </c>
      <c r="D41" s="18">
        <f>IF(D33=0,"n/a",D39/D33)</f>
        <v/>
      </c>
      <c r="E41" s="18">
        <f>IF(E33=0,"n/a",E39/E33)</f>
        <v/>
      </c>
    </row>
    <row r="42">
      <c r="A42" s="17" t="inlineStr">
        <is>
          <t>Net Profit (cash flow)</t>
        </is>
      </c>
      <c r="B42" s="28">
        <f>B39-B33</f>
        <v/>
      </c>
      <c r="C42" s="28">
        <f>C39-C33</f>
        <v/>
      </c>
      <c r="D42" s="28">
        <f>D39-D33</f>
        <v/>
      </c>
      <c r="E42" s="28">
        <f>E39-E33</f>
        <v/>
      </c>
    </row>
    <row r="43">
      <c r="A43" s="7" t="inlineStr">
        <is>
          <t>Cash-on-Cash Return</t>
        </is>
      </c>
      <c r="B43" s="14">
        <f>B42/B37</f>
        <v/>
      </c>
      <c r="C43" s="14">
        <f>C42/C37</f>
        <v/>
      </c>
      <c r="D43" s="14">
        <f>D42/D37</f>
        <v/>
      </c>
      <c r="E43" s="14">
        <f>E42/E37</f>
        <v/>
      </c>
    </row>
    <row r="44">
      <c r="A44" s="17" t="inlineStr">
        <is>
          <t>DSCR clears target?</t>
        </is>
      </c>
      <c r="B44" s="46">
        <f>IF(B33=0,"YES",IF(B39/B33&gt;=$B$5,"YES","NO"))</f>
        <v/>
      </c>
      <c r="C44" s="46">
        <f>IF(C33=0,"YES",IF(C39/C33&gt;=$B$5,"YES","NO"))</f>
        <v/>
      </c>
      <c r="D44" s="46">
        <f>IF(D33=0,"YES",IF(D39/D33&gt;=$B$5,"YES","NO"))</f>
        <v/>
      </c>
      <c r="E44" s="46">
        <f>IF(E33=0,"YES",IF(E39/E33&gt;=$B$5,"YES","NO"))</f>
        <v/>
      </c>
    </row>
    <row r="45">
      <c r="A45" s="17" t="inlineStr">
        <is>
          <t>Cash-on-Cash clears target?</t>
        </is>
      </c>
      <c r="B45" s="46">
        <f>IF(B43&gt;=$B$6,"YES","NO")</f>
        <v/>
      </c>
      <c r="C45" s="46">
        <f>IF(C43&gt;=$B$6,"YES","NO")</f>
        <v/>
      </c>
      <c r="D45" s="46">
        <f>IF(D43&gt;=$B$6,"YES","NO")</f>
        <v/>
      </c>
      <c r="E45" s="46">
        <f>IF(E43&gt;=$B$6,"YES","NO")</f>
        <v/>
      </c>
    </row>
    <row r="46">
      <c r="A46" s="7" t="inlineStr">
        <is>
          <t>VERDICT</t>
        </is>
      </c>
      <c r="B46" s="47">
        <f>IF(AND(B44="YES",B45="YES"),"GO",IF(OR(B44="YES",B45="YES"),"CONDITIONAL","NO-GO"))</f>
        <v/>
      </c>
      <c r="C46" s="47">
        <f>IF(AND(C44="YES",C45="YES"),"GO",IF(OR(C44="YES",C45="YES"),"CONDITIONAL","NO-GO"))</f>
        <v/>
      </c>
      <c r="D46" s="47">
        <f>IF(AND(D44="YES",D45="YES"),"GO",IF(OR(D44="YES",D45="YES"),"CONDITIONAL","NO-GO"))</f>
        <v/>
      </c>
      <c r="E46" s="47">
        <f>IF(AND(E44="YES",E45="YES"),"GO",IF(OR(E44="YES",E45="YES"),"CONDITIONAL","NO-GO"))</f>
        <v/>
      </c>
    </row>
    <row r="48">
      <c r="A48" s="15" t="inlineStr">
        <is>
          <t>Linda's 3 levers to save a CONDITIONAL deal: (1) lower the price toward the MAO, (2) ask the seller to carry a slice — the blended rate drops so DSCR clears and CoC jumps, (3) add down payment. Full seller carry (interest-only) often clears both even at the asking price.</t>
        </is>
      </c>
    </row>
    <row r="49">
      <c r="A49" s="15" t="inlineStr">
        <is>
          <t>Don't pay the seller for value YOU create (rent bumps, occupancy, utility bill-back, new revenue).</t>
        </is>
      </c>
    </row>
  </sheetData>
  <mergeCells count="12">
    <mergeCell ref="A4:E4"/>
    <mergeCell ref="C11:E11"/>
    <mergeCell ref="C14:E14"/>
    <mergeCell ref="C5:E5"/>
    <mergeCell ref="C13:E13"/>
    <mergeCell ref="A16:E16"/>
    <mergeCell ref="A38:E38"/>
    <mergeCell ref="A28:E28"/>
    <mergeCell ref="A1:E1"/>
    <mergeCell ref="C7:E7"/>
    <mergeCell ref="C12:E12"/>
    <mergeCell ref="C6:E6"/>
  </mergeCells>
  <conditionalFormatting sqref="B44:E45">
    <cfRule type="cellIs" priority="1" operator="equal" dxfId="0">
      <formula>"YES"</formula>
    </cfRule>
    <cfRule type="cellIs" priority="2" operator="equal" dxfId="2">
      <formula>"NO"</formula>
    </cfRule>
  </conditionalFormatting>
  <conditionalFormatting sqref="B46:E46">
    <cfRule type="cellIs" priority="3" operator="equal" dxfId="0">
      <formula>"GO"</formula>
    </cfRule>
    <cfRule type="cellIs" priority="4" operator="equal" dxfId="1">
      <formula>"CONDITIONAL"</formula>
    </cfRule>
    <cfRule type="cellIs" priority="5" operator="equal" dxfId="2">
      <formula>"NO-GO"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4" t="inlineStr">
        <is>
          <t>INCOME DETAIL — SITE MIX &amp; SEASONALITY</t>
        </is>
      </c>
    </row>
    <row r="2">
      <c r="A2" s="15" t="inlineStr">
        <is>
          <t>Optional. Build income from your actual site mix, then set 'Use Detailed Income Build?' = Y on the Underwriting tab.</t>
        </is>
      </c>
    </row>
    <row r="4" ht="20" customHeight="1">
      <c r="A4" s="6" t="inlineStr">
        <is>
          <t>LONG-TERM TENANTS (MONTHLY / ANNUAL LEASES)</t>
        </is>
      </c>
    </row>
    <row r="5">
      <c r="A5" s="7" t="inlineStr">
        <is>
          <t>Tier</t>
        </is>
      </c>
      <c r="B5" s="7" t="inlineStr">
        <is>
          <t># Sites</t>
        </is>
      </c>
      <c r="C5" s="7" t="inlineStr">
        <is>
          <t>Monthly Rate</t>
        </is>
      </c>
      <c r="D5" s="7" t="inlineStr">
        <is>
          <t>Occupancy %</t>
        </is>
      </c>
      <c r="E5" s="7" t="inlineStr">
        <is>
          <t>Annual Revenue</t>
        </is>
      </c>
    </row>
    <row r="6">
      <c r="A6" t="inlineStr">
        <is>
          <t>Monthly tenants</t>
        </is>
      </c>
      <c r="B6" s="26" t="n">
        <v>30</v>
      </c>
      <c r="C6" s="27" t="n">
        <v>450</v>
      </c>
      <c r="D6" s="21" t="n">
        <v>0.95</v>
      </c>
      <c r="E6" s="28">
        <f>B6*C6*12*D6</f>
        <v/>
      </c>
    </row>
    <row r="7">
      <c r="A7" t="inlineStr">
        <is>
          <t>Annual / seasonal leases</t>
        </is>
      </c>
      <c r="B7" s="26" t="n">
        <v>8</v>
      </c>
      <c r="C7" s="27" t="n">
        <v>400</v>
      </c>
      <c r="D7" s="21" t="n">
        <v>0.9</v>
      </c>
      <c r="E7" s="28">
        <f>B7*C7*12*D7</f>
        <v/>
      </c>
    </row>
    <row r="8">
      <c r="A8" s="7" t="inlineStr">
        <is>
          <t>Subtotal — long-term</t>
        </is>
      </c>
      <c r="B8" s="8">
        <f>SUM(B6:B7)</f>
        <v/>
      </c>
      <c r="E8" s="30">
        <f>SUM(E6:E7)</f>
        <v/>
      </c>
    </row>
    <row r="10" ht="20" customHeight="1">
      <c r="A10" s="6" t="inlineStr">
        <is>
          <t>TRANSIENT / NIGHTLY SITES (SEASONAL)</t>
        </is>
      </c>
    </row>
    <row r="11">
      <c r="A11" t="inlineStr">
        <is>
          <t># Transient sites</t>
        </is>
      </c>
      <c r="B11" s="26" t="n">
        <v>12</v>
      </c>
    </row>
    <row r="12">
      <c r="A12" t="inlineStr">
        <is>
          <t>Avg nightly rate</t>
        </is>
      </c>
      <c r="B12" s="27" t="n">
        <v>55</v>
      </c>
    </row>
    <row r="14">
      <c r="A14" s="7" t="inlineStr">
        <is>
          <t>Month</t>
        </is>
      </c>
      <c r="B14" s="7" t="inlineStr">
        <is>
          <t>Days</t>
        </is>
      </c>
      <c r="C14" s="7" t="inlineStr">
        <is>
          <t>Occupancy %</t>
        </is>
      </c>
      <c r="D14" s="7" t="inlineStr">
        <is>
          <t>Revenue</t>
        </is>
      </c>
    </row>
    <row r="15">
      <c r="A15" s="17" t="inlineStr">
        <is>
          <t>Jan</t>
        </is>
      </c>
      <c r="B15" s="48" t="n">
        <v>31</v>
      </c>
      <c r="C15" s="21" t="n">
        <v>0.3</v>
      </c>
      <c r="D15" s="28">
        <f>$B$11*$B$12*B15*C15</f>
        <v/>
      </c>
    </row>
    <row r="16">
      <c r="A16" s="17" t="inlineStr">
        <is>
          <t>Feb</t>
        </is>
      </c>
      <c r="B16" s="48" t="n">
        <v>28</v>
      </c>
      <c r="C16" s="21" t="n">
        <v>0.3</v>
      </c>
      <c r="D16" s="28">
        <f>$B$11*$B$12*B16*C16</f>
        <v/>
      </c>
    </row>
    <row r="17">
      <c r="A17" s="17" t="inlineStr">
        <is>
          <t>Mar</t>
        </is>
      </c>
      <c r="B17" s="48" t="n">
        <v>31</v>
      </c>
      <c r="C17" s="21" t="n">
        <v>0.45</v>
      </c>
      <c r="D17" s="28">
        <f>$B$11*$B$12*B17*C17</f>
        <v/>
      </c>
    </row>
    <row r="18">
      <c r="A18" s="17" t="inlineStr">
        <is>
          <t>Apr</t>
        </is>
      </c>
      <c r="B18" s="48" t="n">
        <v>30</v>
      </c>
      <c r="C18" s="21" t="n">
        <v>0.55</v>
      </c>
      <c r="D18" s="28">
        <f>$B$11*$B$12*B18*C18</f>
        <v/>
      </c>
    </row>
    <row r="19">
      <c r="A19" s="17" t="inlineStr">
        <is>
          <t>May</t>
        </is>
      </c>
      <c r="B19" s="48" t="n">
        <v>31</v>
      </c>
      <c r="C19" s="21" t="n">
        <v>0.7</v>
      </c>
      <c r="D19" s="28">
        <f>$B$11*$B$12*B19*C19</f>
        <v/>
      </c>
    </row>
    <row r="20">
      <c r="A20" s="17" t="inlineStr">
        <is>
          <t>Jun</t>
        </is>
      </c>
      <c r="B20" s="48" t="n">
        <v>30</v>
      </c>
      <c r="C20" s="21" t="n">
        <v>0.85</v>
      </c>
      <c r="D20" s="28">
        <f>$B$11*$B$12*B20*C20</f>
        <v/>
      </c>
    </row>
    <row r="21">
      <c r="A21" s="17" t="inlineStr">
        <is>
          <t>Jul</t>
        </is>
      </c>
      <c r="B21" s="48" t="n">
        <v>31</v>
      </c>
      <c r="C21" s="21" t="n">
        <v>0.95</v>
      </c>
      <c r="D21" s="28">
        <f>$B$11*$B$12*B21*C21</f>
        <v/>
      </c>
    </row>
    <row r="22">
      <c r="A22" s="17" t="inlineStr">
        <is>
          <t>Aug</t>
        </is>
      </c>
      <c r="B22" s="48" t="n">
        <v>31</v>
      </c>
      <c r="C22" s="21" t="n">
        <v>0.95</v>
      </c>
      <c r="D22" s="28">
        <f>$B$11*$B$12*B22*C22</f>
        <v/>
      </c>
    </row>
    <row r="23">
      <c r="A23" s="17" t="inlineStr">
        <is>
          <t>Sep</t>
        </is>
      </c>
      <c r="B23" s="48" t="n">
        <v>30</v>
      </c>
      <c r="C23" s="21" t="n">
        <v>0.75</v>
      </c>
      <c r="D23" s="28">
        <f>$B$11*$B$12*B23*C23</f>
        <v/>
      </c>
    </row>
    <row r="24">
      <c r="A24" s="17" t="inlineStr">
        <is>
          <t>Oct</t>
        </is>
      </c>
      <c r="B24" s="48" t="n">
        <v>31</v>
      </c>
      <c r="C24" s="21" t="n">
        <v>0.55</v>
      </c>
      <c r="D24" s="28">
        <f>$B$11*$B$12*B24*C24</f>
        <v/>
      </c>
    </row>
    <row r="25">
      <c r="A25" s="17" t="inlineStr">
        <is>
          <t>Nov</t>
        </is>
      </c>
      <c r="B25" s="48" t="n">
        <v>30</v>
      </c>
      <c r="C25" s="21" t="n">
        <v>0.35</v>
      </c>
      <c r="D25" s="28">
        <f>$B$11*$B$12*B25*C25</f>
        <v/>
      </c>
    </row>
    <row r="26">
      <c r="A26" s="17" t="inlineStr">
        <is>
          <t>Dec</t>
        </is>
      </c>
      <c r="B26" s="48" t="n">
        <v>31</v>
      </c>
      <c r="C26" s="21" t="n">
        <v>0.3</v>
      </c>
      <c r="D26" s="28">
        <f>$B$11*$B$12*B26*C26</f>
        <v/>
      </c>
    </row>
    <row r="27">
      <c r="A27" s="7" t="inlineStr">
        <is>
          <t>Subtotal — transient</t>
        </is>
      </c>
      <c r="D27" s="30">
        <f>SUM(D15:D26)</f>
        <v/>
      </c>
    </row>
    <row r="28">
      <c r="A28" s="17" t="inlineStr">
        <is>
          <t>Avg transient occupancy</t>
        </is>
      </c>
      <c r="C28" s="31">
        <f>SUMPRODUCT(B15:B26,C15:C26)/SUM(B15:B26)</f>
        <v/>
      </c>
    </row>
    <row r="29" ht="20" customHeight="1">
      <c r="A29" s="6" t="inlineStr">
        <is>
          <t>TOTAL POTENTIAL ANNUAL SITE REVENUE</t>
        </is>
      </c>
    </row>
    <row r="30">
      <c r="A30" s="7" t="inlineStr">
        <is>
          <t>Total Potential Annual Site Revenue</t>
        </is>
      </c>
      <c r="E30" s="32">
        <f>E8+D27</f>
        <v/>
      </c>
    </row>
    <row r="31">
      <c r="A31" t="inlineStr">
        <is>
          <t>Total sites in build</t>
        </is>
      </c>
      <c r="E31" s="49">
        <f>B8+B11</f>
        <v/>
      </c>
    </row>
    <row r="32">
      <c r="A32" t="inlineStr">
        <is>
          <t>Implied blended monthly rent / site</t>
        </is>
      </c>
      <c r="E32" s="28">
        <f>E30/E31/12</f>
        <v/>
      </c>
    </row>
    <row r="33">
      <c r="A33" s="15" t="inlineStr">
        <is>
          <t>Note: when Use Detailed Income Build = Y, keep the Underwriting Vacancy % low (credit loss only) — occupancy is already in this build.</t>
        </is>
      </c>
    </row>
  </sheetData>
  <mergeCells count="4">
    <mergeCell ref="A29:E29"/>
    <mergeCell ref="A1:E1"/>
    <mergeCell ref="A4:E4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4" t="inlineStr">
        <is>
          <t>IN-PLACE ACTUALS  vs  STABILIZED PRO FORMA</t>
        </is>
      </c>
    </row>
    <row r="2">
      <c r="A2" s="15" t="inlineStr">
        <is>
          <t>Left column = what the seller is doing TODAY (from their T-12 P&amp;L). Right = your stabilized plan (pulled from Underwriting). The gap is your value-add.</t>
        </is>
      </c>
    </row>
    <row r="4">
      <c r="A4" s="16" t="inlineStr">
        <is>
          <t>Line Item</t>
        </is>
      </c>
      <c r="B4" s="16" t="inlineStr">
        <is>
          <t>In-Place / Actuals</t>
        </is>
      </c>
      <c r="C4" s="16" t="inlineStr">
        <is>
          <t>Stabilized Pro Forma</t>
        </is>
      </c>
      <c r="D4" s="16" t="inlineStr">
        <is>
          <t>Variance</t>
        </is>
      </c>
    </row>
    <row r="5">
      <c r="A5" s="17" t="inlineStr">
        <is>
          <t>Gross Potential Rent</t>
        </is>
      </c>
      <c r="B5" s="27" t="n">
        <v>240000</v>
      </c>
      <c r="C5" s="28">
        <f>Underwriting!B21</f>
        <v/>
      </c>
      <c r="D5" s="28">
        <f>C5-B5</f>
        <v/>
      </c>
    </row>
    <row r="6">
      <c r="A6" s="17" t="inlineStr">
        <is>
          <t>Vacancy &amp; Credit Loss</t>
        </is>
      </c>
      <c r="B6" s="27" t="n">
        <v>-48000</v>
      </c>
      <c r="C6" s="28">
        <f>Underwriting!B22</f>
        <v/>
      </c>
      <c r="D6" s="28">
        <f>C6-B6</f>
        <v/>
      </c>
    </row>
    <row r="7">
      <c r="A7" s="17" t="inlineStr">
        <is>
          <t>Other Income</t>
        </is>
      </c>
      <c r="B7" s="27" t="n">
        <v>12000</v>
      </c>
      <c r="C7" s="28">
        <f>Underwriting!B23</f>
        <v/>
      </c>
      <c r="D7" s="28">
        <f>C7-B7</f>
        <v/>
      </c>
    </row>
    <row r="8">
      <c r="A8" s="7" t="inlineStr">
        <is>
          <t>Effective Gross Income</t>
        </is>
      </c>
      <c r="B8" s="30">
        <f>B5+B6+B7</f>
        <v/>
      </c>
      <c r="C8" s="30">
        <f>Underwriting!B24</f>
        <v/>
      </c>
      <c r="D8" s="28">
        <f>C8-B8</f>
        <v/>
      </c>
    </row>
    <row r="9">
      <c r="A9" s="17" t="inlineStr">
        <is>
          <t>Property Taxes</t>
        </is>
      </c>
      <c r="B9" s="27" t="n">
        <v>12000</v>
      </c>
      <c r="C9" s="28">
        <f>Underwriting!B27</f>
        <v/>
      </c>
      <c r="D9" s="28">
        <f>C9-B9</f>
        <v/>
      </c>
    </row>
    <row r="10">
      <c r="A10" s="17" t="inlineStr">
        <is>
          <t>Insurance</t>
        </is>
      </c>
      <c r="B10" s="27" t="n">
        <v>8000</v>
      </c>
      <c r="C10" s="28">
        <f>Underwriting!B28</f>
        <v/>
      </c>
      <c r="D10" s="28">
        <f>C10-B10</f>
        <v/>
      </c>
    </row>
    <row r="11">
      <c r="A11" s="17" t="inlineStr">
        <is>
          <t>Utilities</t>
        </is>
      </c>
      <c r="B11" s="27" t="n">
        <v>38000</v>
      </c>
      <c r="C11" s="28">
        <f>Underwriting!B29</f>
        <v/>
      </c>
      <c r="D11" s="28">
        <f>C11-B11</f>
        <v/>
      </c>
    </row>
    <row r="12">
      <c r="A12" s="17" t="inlineStr">
        <is>
          <t>Repairs &amp; Maintenance</t>
        </is>
      </c>
      <c r="B12" s="27" t="n">
        <v>20000</v>
      </c>
      <c r="C12" s="28">
        <f>Underwriting!B30</f>
        <v/>
      </c>
      <c r="D12" s="28">
        <f>C12-B12</f>
        <v/>
      </c>
    </row>
    <row r="13">
      <c r="A13" s="17" t="inlineStr">
        <is>
          <t>Payroll / Onsite Mgr</t>
        </is>
      </c>
      <c r="B13" s="27" t="n">
        <v>20000</v>
      </c>
      <c r="C13" s="28">
        <f>Underwriting!B31</f>
        <v/>
      </c>
      <c r="D13" s="28">
        <f>C13-B13</f>
        <v/>
      </c>
    </row>
    <row r="14">
      <c r="A14" s="17" t="inlineStr">
        <is>
          <t>Marketing, Admin, Office</t>
        </is>
      </c>
      <c r="B14" s="27" t="n">
        <v>6000</v>
      </c>
      <c r="C14" s="28">
        <f>Underwriting!B32</f>
        <v/>
      </c>
      <c r="D14" s="28">
        <f>C14-B14</f>
        <v/>
      </c>
    </row>
    <row r="15">
      <c r="A15" s="17" t="inlineStr">
        <is>
          <t>Management Fee</t>
        </is>
      </c>
      <c r="B15" s="27" t="n">
        <v>0</v>
      </c>
      <c r="C15" s="28">
        <f>Underwriting!B33</f>
        <v/>
      </c>
      <c r="D15" s="28">
        <f>C15-B15</f>
        <v/>
      </c>
    </row>
    <row r="16">
      <c r="A16" s="17" t="inlineStr">
        <is>
          <t>Replacement Reserves</t>
        </is>
      </c>
      <c r="B16" s="27" t="n">
        <v>0</v>
      </c>
      <c r="C16" s="28">
        <f>Underwriting!B34</f>
        <v/>
      </c>
      <c r="D16" s="28">
        <f>C16-B16</f>
        <v/>
      </c>
    </row>
    <row r="17">
      <c r="A17" s="7" t="inlineStr">
        <is>
          <t>Total Operating Expenses</t>
        </is>
      </c>
      <c r="B17" s="30">
        <f>SUM(B9:B16)</f>
        <v/>
      </c>
      <c r="C17" s="30">
        <f>Underwriting!B35</f>
        <v/>
      </c>
      <c r="D17" s="28">
        <f>C17-B17</f>
        <v/>
      </c>
    </row>
    <row r="18">
      <c r="A18" s="7" t="inlineStr">
        <is>
          <t>Net Operating Income</t>
        </is>
      </c>
      <c r="B18" s="32">
        <f>B8-B17</f>
        <v/>
      </c>
      <c r="C18" s="32">
        <f>Underwriting!B40</f>
        <v/>
      </c>
      <c r="D18" s="28">
        <f>C18-B18</f>
        <v/>
      </c>
    </row>
    <row r="20">
      <c r="A20" s="7" t="inlineStr">
        <is>
          <t>Cap Rate at Purchase Price</t>
        </is>
      </c>
      <c r="B20" s="33">
        <f>B18/Underwriting!B9</f>
        <v/>
      </c>
      <c r="C20" s="33">
        <f>Underwriting!B62</f>
        <v/>
      </c>
    </row>
    <row r="22">
      <c r="A22" s="15" t="inlineStr">
        <is>
          <t>In-place cap rate = what you're actually buying today. Underwrite to this first, the pro forma second.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6" customHeight="1">
      <c r="A1" s="4" t="inlineStr">
        <is>
          <t>10-YEAR PRO FORMA &amp; RETURNS</t>
        </is>
      </c>
    </row>
    <row r="3">
      <c r="A3" s="50" t="inlineStr">
        <is>
          <t>Year</t>
        </is>
      </c>
      <c r="B3" s="16" t="n">
        <v>0</v>
      </c>
      <c r="C3" s="16" t="n">
        <v>1</v>
      </c>
      <c r="D3" s="16" t="n">
        <v>2</v>
      </c>
      <c r="E3" s="16" t="n">
        <v>3</v>
      </c>
      <c r="F3" s="16" t="n">
        <v>4</v>
      </c>
      <c r="G3" s="16" t="n">
        <v>5</v>
      </c>
      <c r="H3" s="16" t="n">
        <v>6</v>
      </c>
      <c r="I3" s="16" t="n">
        <v>7</v>
      </c>
      <c r="J3" s="16" t="n">
        <v>8</v>
      </c>
      <c r="K3" s="16" t="n">
        <v>9</v>
      </c>
      <c r="L3" s="16" t="n">
        <v>10</v>
      </c>
    </row>
    <row r="5">
      <c r="A5" s="17" t="inlineStr">
        <is>
          <t>Gross Potential Rent</t>
        </is>
      </c>
      <c r="C5" s="28">
        <f>Underwriting!B21*(1+Underwriting!B16)^0</f>
        <v/>
      </c>
      <c r="D5" s="28">
        <f>Underwriting!B21*(1+Underwriting!B16)^1</f>
        <v/>
      </c>
      <c r="E5" s="28">
        <f>Underwriting!B21*(1+Underwriting!B16)^2</f>
        <v/>
      </c>
      <c r="F5" s="28">
        <f>Underwriting!B21*(1+Underwriting!B16)^3</f>
        <v/>
      </c>
      <c r="G5" s="28">
        <f>Underwriting!B21*(1+Underwriting!B16)^4</f>
        <v/>
      </c>
      <c r="H5" s="28">
        <f>Underwriting!B21*(1+Underwriting!B16)^5</f>
        <v/>
      </c>
      <c r="I5" s="28">
        <f>Underwriting!B21*(1+Underwriting!B16)^6</f>
        <v/>
      </c>
      <c r="J5" s="28">
        <f>Underwriting!B21*(1+Underwriting!B16)^7</f>
        <v/>
      </c>
      <c r="K5" s="28">
        <f>Underwriting!B21*(1+Underwriting!B16)^8</f>
        <v/>
      </c>
      <c r="L5" s="28">
        <f>Underwriting!B21*(1+Underwriting!B16)^9</f>
        <v/>
      </c>
    </row>
    <row r="6">
      <c r="A6" s="17" t="inlineStr">
        <is>
          <t>Less: Vacancy &amp; Credit Loss</t>
        </is>
      </c>
      <c r="C6" s="28">
        <f>-C5*Underwriting!B12</f>
        <v/>
      </c>
      <c r="D6" s="28">
        <f>-D5*Underwriting!B12</f>
        <v/>
      </c>
      <c r="E6" s="28">
        <f>-E5*Underwriting!B12</f>
        <v/>
      </c>
      <c r="F6" s="28">
        <f>-F5*Underwriting!B12</f>
        <v/>
      </c>
      <c r="G6" s="28">
        <f>-G5*Underwriting!B12</f>
        <v/>
      </c>
      <c r="H6" s="28">
        <f>-H5*Underwriting!B12</f>
        <v/>
      </c>
      <c r="I6" s="28">
        <f>-I5*Underwriting!B12</f>
        <v/>
      </c>
      <c r="J6" s="28">
        <f>-J5*Underwriting!B12</f>
        <v/>
      </c>
      <c r="K6" s="28">
        <f>-K5*Underwriting!B12</f>
        <v/>
      </c>
      <c r="L6" s="28">
        <f>-L5*Underwriting!B12</f>
        <v/>
      </c>
    </row>
    <row r="7">
      <c r="A7" s="17" t="inlineStr">
        <is>
          <t>Other Income</t>
        </is>
      </c>
      <c r="C7" s="28">
        <f>Underwriting!B23*(1+Underwriting!B16)^0</f>
        <v/>
      </c>
      <c r="D7" s="28">
        <f>Underwriting!B23*(1+Underwriting!B16)^1</f>
        <v/>
      </c>
      <c r="E7" s="28">
        <f>Underwriting!B23*(1+Underwriting!B16)^2</f>
        <v/>
      </c>
      <c r="F7" s="28">
        <f>Underwriting!B23*(1+Underwriting!B16)^3</f>
        <v/>
      </c>
      <c r="G7" s="28">
        <f>Underwriting!B23*(1+Underwriting!B16)^4</f>
        <v/>
      </c>
      <c r="H7" s="28">
        <f>Underwriting!B23*(1+Underwriting!B16)^5</f>
        <v/>
      </c>
      <c r="I7" s="28">
        <f>Underwriting!B23*(1+Underwriting!B16)^6</f>
        <v/>
      </c>
      <c r="J7" s="28">
        <f>Underwriting!B23*(1+Underwriting!B16)^7</f>
        <v/>
      </c>
      <c r="K7" s="28">
        <f>Underwriting!B23*(1+Underwriting!B16)^8</f>
        <v/>
      </c>
      <c r="L7" s="28">
        <f>Underwriting!B23*(1+Underwriting!B16)^9</f>
        <v/>
      </c>
    </row>
    <row r="8">
      <c r="A8" s="7" t="inlineStr">
        <is>
          <t>Effective Gross Income</t>
        </is>
      </c>
      <c r="C8" s="30">
        <f>C5+C6+C7</f>
        <v/>
      </c>
      <c r="D8" s="30">
        <f>D5+D6+D7</f>
        <v/>
      </c>
      <c r="E8" s="30">
        <f>E5+E6+E7</f>
        <v/>
      </c>
      <c r="F8" s="30">
        <f>F5+F6+F7</f>
        <v/>
      </c>
      <c r="G8" s="30">
        <f>G5+G6+G7</f>
        <v/>
      </c>
      <c r="H8" s="30">
        <f>H5+H6+H7</f>
        <v/>
      </c>
      <c r="I8" s="30">
        <f>I5+I6+I7</f>
        <v/>
      </c>
      <c r="J8" s="30">
        <f>J5+J6+J7</f>
        <v/>
      </c>
      <c r="K8" s="30">
        <f>K5+K6+K7</f>
        <v/>
      </c>
      <c r="L8" s="30">
        <f>L5+L6+L7</f>
        <v/>
      </c>
    </row>
    <row r="9">
      <c r="A9" s="17" t="inlineStr">
        <is>
          <t>Operating Expenses</t>
        </is>
      </c>
      <c r="C9" s="28">
        <f>Underwriting!B35*(1+Underwriting!B17)^0</f>
        <v/>
      </c>
      <c r="D9" s="28">
        <f>Underwriting!B35*(1+Underwriting!B17)^1</f>
        <v/>
      </c>
      <c r="E9" s="28">
        <f>Underwriting!B35*(1+Underwriting!B17)^2</f>
        <v/>
      </c>
      <c r="F9" s="28">
        <f>Underwriting!B35*(1+Underwriting!B17)^3</f>
        <v/>
      </c>
      <c r="G9" s="28">
        <f>Underwriting!B35*(1+Underwriting!B17)^4</f>
        <v/>
      </c>
      <c r="H9" s="28">
        <f>Underwriting!B35*(1+Underwriting!B17)^5</f>
        <v/>
      </c>
      <c r="I9" s="28">
        <f>Underwriting!B35*(1+Underwriting!B17)^6</f>
        <v/>
      </c>
      <c r="J9" s="28">
        <f>Underwriting!B35*(1+Underwriting!B17)^7</f>
        <v/>
      </c>
      <c r="K9" s="28">
        <f>Underwriting!B35*(1+Underwriting!B17)^8</f>
        <v/>
      </c>
      <c r="L9" s="28">
        <f>Underwriting!B35*(1+Underwriting!B17)^9</f>
        <v/>
      </c>
    </row>
    <row r="10">
      <c r="A10" s="7" t="inlineStr">
        <is>
          <t>Net Operating Income</t>
        </is>
      </c>
      <c r="C10" s="32">
        <f>C8-C9</f>
        <v/>
      </c>
      <c r="D10" s="32">
        <f>D8-D9</f>
        <v/>
      </c>
      <c r="E10" s="32">
        <f>E8-E9</f>
        <v/>
      </c>
      <c r="F10" s="32">
        <f>F8-F9</f>
        <v/>
      </c>
      <c r="G10" s="32">
        <f>G8-G9</f>
        <v/>
      </c>
      <c r="H10" s="32">
        <f>H8-H9</f>
        <v/>
      </c>
      <c r="I10" s="32">
        <f>I8-I9</f>
        <v/>
      </c>
      <c r="J10" s="32">
        <f>J8-J9</f>
        <v/>
      </c>
      <c r="K10" s="32">
        <f>K8-K9</f>
        <v/>
      </c>
      <c r="L10" s="32">
        <f>L8-L9</f>
        <v/>
      </c>
    </row>
    <row r="11">
      <c r="A11" s="17" t="inlineStr">
        <is>
          <t>Annual Debt Service</t>
        </is>
      </c>
      <c r="C11" s="28">
        <f>IF(1&lt;=Underwriting!B49,Underwriting!B59,0)</f>
        <v/>
      </c>
      <c r="D11" s="28">
        <f>IF(2&lt;=Underwriting!B49,Underwriting!B59,0)</f>
        <v/>
      </c>
      <c r="E11" s="28">
        <f>IF(3&lt;=Underwriting!B49,Underwriting!B59,0)</f>
        <v/>
      </c>
      <c r="F11" s="28">
        <f>IF(4&lt;=Underwriting!B49,Underwriting!B59,0)</f>
        <v/>
      </c>
      <c r="G11" s="28">
        <f>IF(5&lt;=Underwriting!B49,Underwriting!B59,0)</f>
        <v/>
      </c>
      <c r="H11" s="28">
        <f>IF(6&lt;=Underwriting!B49,Underwriting!B59,0)</f>
        <v/>
      </c>
      <c r="I11" s="28">
        <f>IF(7&lt;=Underwriting!B49,Underwriting!B59,0)</f>
        <v/>
      </c>
      <c r="J11" s="28">
        <f>IF(8&lt;=Underwriting!B49,Underwriting!B59,0)</f>
        <v/>
      </c>
      <c r="K11" s="28">
        <f>IF(9&lt;=Underwriting!B49,Underwriting!B59,0)</f>
        <v/>
      </c>
      <c r="L11" s="28">
        <f>IF(10&lt;=Underwriting!B49,Underwriting!B59,0)</f>
        <v/>
      </c>
    </row>
    <row r="12">
      <c r="A12" s="17" t="inlineStr">
        <is>
          <t>Loan Balance (end of yr)</t>
        </is>
      </c>
      <c r="B12" s="28">
        <f>Underwriting!B54</f>
        <v/>
      </c>
      <c r="C12" s="28">
        <f>Underwriting!B54*(1+(Underwriting!B45/12))^(MIN(1,Underwriting!B46)*12)-Underwriting!B58*(((1+(Underwriting!B45/12))^(MIN(1,Underwriting!B46)*12)-1)/(Underwriting!B45/12))</f>
        <v/>
      </c>
      <c r="D12" s="28">
        <f>Underwriting!B54*(1+(Underwriting!B45/12))^(MIN(2,Underwriting!B46)*12)-Underwriting!B58*(((1+(Underwriting!B45/12))^(MIN(2,Underwriting!B46)*12)-1)/(Underwriting!B45/12))</f>
        <v/>
      </c>
      <c r="E12" s="28">
        <f>Underwriting!B54*(1+(Underwriting!B45/12))^(MIN(3,Underwriting!B46)*12)-Underwriting!B58*(((1+(Underwriting!B45/12))^(MIN(3,Underwriting!B46)*12)-1)/(Underwriting!B45/12))</f>
        <v/>
      </c>
      <c r="F12" s="28">
        <f>Underwriting!B54*(1+(Underwriting!B45/12))^(MIN(4,Underwriting!B46)*12)-Underwriting!B58*(((1+(Underwriting!B45/12))^(MIN(4,Underwriting!B46)*12)-1)/(Underwriting!B45/12))</f>
        <v/>
      </c>
      <c r="G12" s="28">
        <f>Underwriting!B54*(1+(Underwriting!B45/12))^(MIN(5,Underwriting!B46)*12)-Underwriting!B58*(((1+(Underwriting!B45/12))^(MIN(5,Underwriting!B46)*12)-1)/(Underwriting!B45/12))</f>
        <v/>
      </c>
      <c r="H12" s="28">
        <f>Underwriting!B54*(1+(Underwriting!B45/12))^(MIN(6,Underwriting!B46)*12)-Underwriting!B58*(((1+(Underwriting!B45/12))^(MIN(6,Underwriting!B46)*12)-1)/(Underwriting!B45/12))</f>
        <v/>
      </c>
      <c r="I12" s="28">
        <f>Underwriting!B54*(1+(Underwriting!B45/12))^(MIN(7,Underwriting!B46)*12)-Underwriting!B58*(((1+(Underwriting!B45/12))^(MIN(7,Underwriting!B46)*12)-1)/(Underwriting!B45/12))</f>
        <v/>
      </c>
      <c r="J12" s="28">
        <f>Underwriting!B54*(1+(Underwriting!B45/12))^(MIN(8,Underwriting!B46)*12)-Underwriting!B58*(((1+(Underwriting!B45/12))^(MIN(8,Underwriting!B46)*12)-1)/(Underwriting!B45/12))</f>
        <v/>
      </c>
      <c r="K12" s="28">
        <f>Underwriting!B54*(1+(Underwriting!B45/12))^(MIN(9,Underwriting!B46)*12)-Underwriting!B58*(((1+(Underwriting!B45/12))^(MIN(9,Underwriting!B46)*12)-1)/(Underwriting!B45/12))</f>
        <v/>
      </c>
      <c r="L12" s="28">
        <f>Underwriting!B54*(1+(Underwriting!B45/12))^(MIN(10,Underwriting!B46)*12)-Underwriting!B58*(((1+(Underwriting!B45/12))^(MIN(10,Underwriting!B46)*12)-1)/(Underwriting!B45/12))</f>
        <v/>
      </c>
    </row>
    <row r="13">
      <c r="A13" s="7" t="inlineStr">
        <is>
          <t>Operating Cash Flow</t>
        </is>
      </c>
      <c r="C13" s="9">
        <f>IF(1&lt;=Underwriting!B49,C10-C11,0)</f>
        <v/>
      </c>
      <c r="D13" s="9">
        <f>IF(2&lt;=Underwriting!B49,D10-D11,0)</f>
        <v/>
      </c>
      <c r="E13" s="9">
        <f>IF(3&lt;=Underwriting!B49,E10-E11,0)</f>
        <v/>
      </c>
      <c r="F13" s="9">
        <f>IF(4&lt;=Underwriting!B49,F10-F11,0)</f>
        <v/>
      </c>
      <c r="G13" s="9">
        <f>IF(5&lt;=Underwriting!B49,G10-G11,0)</f>
        <v/>
      </c>
      <c r="H13" s="9">
        <f>IF(6&lt;=Underwriting!B49,H10-H11,0)</f>
        <v/>
      </c>
      <c r="I13" s="9">
        <f>IF(7&lt;=Underwriting!B49,I10-I11,0)</f>
        <v/>
      </c>
      <c r="J13" s="9">
        <f>IF(8&lt;=Underwriting!B49,J10-J11,0)</f>
        <v/>
      </c>
      <c r="K13" s="9">
        <f>IF(9&lt;=Underwriting!B49,K10-K11,0)</f>
        <v/>
      </c>
      <c r="L13" s="9">
        <f>IF(10&lt;=Underwriting!B49,L10-L11,0)</f>
        <v/>
      </c>
    </row>
    <row r="14">
      <c r="A14" s="17" t="inlineStr">
        <is>
          <t>Net Sale Proceeds (reversion)</t>
        </is>
      </c>
      <c r="C14" s="51">
        <f>IF(1=Underwriting!B49,((C10*(1+Underwriting!B16))/Underwriting!B50)*(1-Underwriting!B51)-C12,0)</f>
        <v/>
      </c>
      <c r="D14" s="51">
        <f>IF(2=Underwriting!B49,((D10*(1+Underwriting!B16))/Underwriting!B50)*(1-Underwriting!B51)-D12,0)</f>
        <v/>
      </c>
      <c r="E14" s="51">
        <f>IF(3=Underwriting!B49,((E10*(1+Underwriting!B16))/Underwriting!B50)*(1-Underwriting!B51)-E12,0)</f>
        <v/>
      </c>
      <c r="F14" s="51">
        <f>IF(4=Underwriting!B49,((F10*(1+Underwriting!B16))/Underwriting!B50)*(1-Underwriting!B51)-F12,0)</f>
        <v/>
      </c>
      <c r="G14" s="51">
        <f>IF(5=Underwriting!B49,((G10*(1+Underwriting!B16))/Underwriting!B50)*(1-Underwriting!B51)-G12,0)</f>
        <v/>
      </c>
      <c r="H14" s="51">
        <f>IF(6=Underwriting!B49,((H10*(1+Underwriting!B16))/Underwriting!B50)*(1-Underwriting!B51)-H12,0)</f>
        <v/>
      </c>
      <c r="I14" s="51">
        <f>IF(7=Underwriting!B49,((I10*(1+Underwriting!B16))/Underwriting!B50)*(1-Underwriting!B51)-I12,0)</f>
        <v/>
      </c>
      <c r="J14" s="51">
        <f>IF(8=Underwriting!B49,((J10*(1+Underwriting!B16))/Underwriting!B50)*(1-Underwriting!B51)-J12,0)</f>
        <v/>
      </c>
      <c r="K14" s="51">
        <f>IF(9=Underwriting!B49,((K10*(1+Underwriting!B16))/Underwriting!B50)*(1-Underwriting!B51)-K12,0)</f>
        <v/>
      </c>
      <c r="L14" s="51">
        <f>IF(10=Underwriting!B49,((L10*(1+Underwriting!B16))/Underwriting!B50)*(1-Underwriting!B51)-L12,0)</f>
        <v/>
      </c>
    </row>
    <row r="15">
      <c r="A15" s="7" t="inlineStr">
        <is>
          <t>Total Cash Flow (for IRR)</t>
        </is>
      </c>
      <c r="B15" s="32">
        <f>-Underwriting!B57</f>
        <v/>
      </c>
      <c r="C15" s="32">
        <f>C13+C14</f>
        <v/>
      </c>
      <c r="D15" s="32">
        <f>D13+D14</f>
        <v/>
      </c>
      <c r="E15" s="32">
        <f>E13+E14</f>
        <v/>
      </c>
      <c r="F15" s="32">
        <f>F13+F14</f>
        <v/>
      </c>
      <c r="G15" s="32">
        <f>G13+G14</f>
        <v/>
      </c>
      <c r="H15" s="32">
        <f>H13+H14</f>
        <v/>
      </c>
      <c r="I15" s="32">
        <f>I13+I14</f>
        <v/>
      </c>
      <c r="J15" s="32">
        <f>J13+J14</f>
        <v/>
      </c>
      <c r="K15" s="32">
        <f>K13+K14</f>
        <v/>
      </c>
      <c r="L15" s="32">
        <f>L13+L14</f>
        <v/>
      </c>
    </row>
    <row r="17" ht="20" customHeight="1">
      <c r="A17" s="6" t="inlineStr">
        <is>
          <t>RETURN SUMMARY (over hold period)</t>
        </is>
      </c>
    </row>
    <row r="18">
      <c r="A18" s="7" t="inlineStr">
        <is>
          <t>Levered IRR</t>
        </is>
      </c>
      <c r="B18" s="33">
        <f>IRR(B15:L15)</f>
        <v/>
      </c>
      <c r="C18" s="15" t="inlineStr">
        <is>
          <t>internal rate of return on equity</t>
        </is>
      </c>
    </row>
    <row r="19">
      <c r="A19" s="7" t="inlineStr">
        <is>
          <t>Equity Multiple</t>
        </is>
      </c>
      <c r="B19" s="34">
        <f>(SUM(C13:L13)+SUM(C14:L14))/-B15</f>
        <v/>
      </c>
      <c r="C19" s="15" t="inlineStr">
        <is>
          <t>total cash returned / equity</t>
        </is>
      </c>
    </row>
    <row r="20">
      <c r="A20" s="7" t="inlineStr">
        <is>
          <t>Avg. Cash-on-Cash</t>
        </is>
      </c>
      <c r="B20" s="33">
        <f>AVERAGEIF(C11:L11,"&gt;0",C13:L13)/Underwriting!B57</f>
        <v/>
      </c>
      <c r="C20" s="15" t="inlineStr">
        <is>
          <t>avg operating CF / equity during hold</t>
        </is>
      </c>
    </row>
    <row r="21">
      <c r="A21" s="7" t="inlineStr">
        <is>
          <t>Year-1 Cash-on-Cash</t>
        </is>
      </c>
      <c r="B21" s="33">
        <f>Underwriting!B64</f>
        <v/>
      </c>
    </row>
    <row r="22">
      <c r="A22" s="7" t="inlineStr">
        <is>
          <t>Going-in Cap Rate</t>
        </is>
      </c>
      <c r="B22" s="33">
        <f>Underwriting!B62</f>
        <v/>
      </c>
    </row>
    <row r="23">
      <c r="A23" s="7" t="inlineStr">
        <is>
          <t>Total Profit</t>
        </is>
      </c>
      <c r="B23" s="32">
        <f>SUM(C13:L13)+SUM(C14:L14)+B15</f>
        <v/>
      </c>
      <c r="C23" s="15" t="inlineStr">
        <is>
          <t>all cash flows incl. equity out</t>
        </is>
      </c>
    </row>
  </sheetData>
  <mergeCells count="2">
    <mergeCell ref="A17:D17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4" t="inlineStr">
        <is>
          <t>SENSITIVITY TABLES</t>
        </is>
      </c>
    </row>
    <row r="2">
      <c r="A2" s="15" t="inlineStr">
        <is>
          <t>Rows = purchase price scenarios. Columns = interest rate. Cells recompute live from Underwriting inputs.</t>
        </is>
      </c>
    </row>
    <row r="4" ht="20" customHeight="1">
      <c r="A4" s="6" t="inlineStr">
        <is>
          <t>CASH-ON-CASH RETURN  —  Price x Interest Rate</t>
        </is>
      </c>
    </row>
    <row r="5">
      <c r="A5" s="52" t="inlineStr">
        <is>
          <t>Price \ Rate</t>
        </is>
      </c>
      <c r="B5" s="53">
        <f>Underwriting!B45+-0.01</f>
        <v/>
      </c>
      <c r="C5" s="53">
        <f>Underwriting!B45+-0.005</f>
        <v/>
      </c>
      <c r="D5" s="53">
        <f>Underwriting!B45+0</f>
        <v/>
      </c>
      <c r="E5" s="53">
        <f>Underwriting!B45+0.005</f>
        <v/>
      </c>
      <c r="F5" s="53">
        <f>Underwriting!B45+0.01</f>
        <v/>
      </c>
    </row>
    <row r="6">
      <c r="A6" s="30">
        <f>Underwriting!B9*0.9</f>
        <v/>
      </c>
      <c r="B6" s="37">
        <f>(Underwriting!B40-((($A6*Underwriting!B44)*(B$5/12)/(1-(1+B$5/12)^(-Underwriting!B46*12)))*12))/($A6*(1-Underwriting!B44)+$A6*Underwriting!B47+Underwriting!B48)</f>
        <v/>
      </c>
      <c r="C6" s="37">
        <f>(Underwriting!B40-((($A6*Underwriting!B44)*(C$5/12)/(1-(1+C$5/12)^(-Underwriting!B46*12)))*12))/($A6*(1-Underwriting!B44)+$A6*Underwriting!B47+Underwriting!B48)</f>
        <v/>
      </c>
      <c r="D6" s="37">
        <f>(Underwriting!B40-((($A6*Underwriting!B44)*(D$5/12)/(1-(1+D$5/12)^(-Underwriting!B46*12)))*12))/($A6*(1-Underwriting!B44)+$A6*Underwriting!B47+Underwriting!B48)</f>
        <v/>
      </c>
      <c r="E6" s="37">
        <f>(Underwriting!B40-((($A6*Underwriting!B44)*(E$5/12)/(1-(1+E$5/12)^(-Underwriting!B46*12)))*12))/($A6*(1-Underwriting!B44)+$A6*Underwriting!B47+Underwriting!B48)</f>
        <v/>
      </c>
      <c r="F6" s="37">
        <f>(Underwriting!B40-((($A6*Underwriting!B44)*(F$5/12)/(1-(1+F$5/12)^(-Underwriting!B46*12)))*12))/($A6*(1-Underwriting!B44)+$A6*Underwriting!B47+Underwriting!B48)</f>
        <v/>
      </c>
    </row>
    <row r="7">
      <c r="A7" s="30">
        <f>Underwriting!B9*0.95</f>
        <v/>
      </c>
      <c r="B7" s="37">
        <f>(Underwriting!B40-((($A7*Underwriting!B44)*(B$5/12)/(1-(1+B$5/12)^(-Underwriting!B46*12)))*12))/($A7*(1-Underwriting!B44)+$A7*Underwriting!B47+Underwriting!B48)</f>
        <v/>
      </c>
      <c r="C7" s="37">
        <f>(Underwriting!B40-((($A7*Underwriting!B44)*(C$5/12)/(1-(1+C$5/12)^(-Underwriting!B46*12)))*12))/($A7*(1-Underwriting!B44)+$A7*Underwriting!B47+Underwriting!B48)</f>
        <v/>
      </c>
      <c r="D7" s="37">
        <f>(Underwriting!B40-((($A7*Underwriting!B44)*(D$5/12)/(1-(1+D$5/12)^(-Underwriting!B46*12)))*12))/($A7*(1-Underwriting!B44)+$A7*Underwriting!B47+Underwriting!B48)</f>
        <v/>
      </c>
      <c r="E7" s="37">
        <f>(Underwriting!B40-((($A7*Underwriting!B44)*(E$5/12)/(1-(1+E$5/12)^(-Underwriting!B46*12)))*12))/($A7*(1-Underwriting!B44)+$A7*Underwriting!B47+Underwriting!B48)</f>
        <v/>
      </c>
      <c r="F7" s="37">
        <f>(Underwriting!B40-((($A7*Underwriting!B44)*(F$5/12)/(1-(1+F$5/12)^(-Underwriting!B46*12)))*12))/($A7*(1-Underwriting!B44)+$A7*Underwriting!B47+Underwriting!B48)</f>
        <v/>
      </c>
    </row>
    <row r="8">
      <c r="A8" s="30">
        <f>Underwriting!B9*1.0</f>
        <v/>
      </c>
      <c r="B8" s="37">
        <f>(Underwriting!B40-((($A8*Underwriting!B44)*(B$5/12)/(1-(1+B$5/12)^(-Underwriting!B46*12)))*12))/($A8*(1-Underwriting!B44)+$A8*Underwriting!B47+Underwriting!B48)</f>
        <v/>
      </c>
      <c r="C8" s="37">
        <f>(Underwriting!B40-((($A8*Underwriting!B44)*(C$5/12)/(1-(1+C$5/12)^(-Underwriting!B46*12)))*12))/($A8*(1-Underwriting!B44)+$A8*Underwriting!B47+Underwriting!B48)</f>
        <v/>
      </c>
      <c r="D8" s="37">
        <f>(Underwriting!B40-((($A8*Underwriting!B44)*(D$5/12)/(1-(1+D$5/12)^(-Underwriting!B46*12)))*12))/($A8*(1-Underwriting!B44)+$A8*Underwriting!B47+Underwriting!B48)</f>
        <v/>
      </c>
      <c r="E8" s="37">
        <f>(Underwriting!B40-((($A8*Underwriting!B44)*(E$5/12)/(1-(1+E$5/12)^(-Underwriting!B46*12)))*12))/($A8*(1-Underwriting!B44)+$A8*Underwriting!B47+Underwriting!B48)</f>
        <v/>
      </c>
      <c r="F8" s="37">
        <f>(Underwriting!B40-((($A8*Underwriting!B44)*(F$5/12)/(1-(1+F$5/12)^(-Underwriting!B46*12)))*12))/($A8*(1-Underwriting!B44)+$A8*Underwriting!B47+Underwriting!B48)</f>
        <v/>
      </c>
    </row>
    <row r="9">
      <c r="A9" s="30">
        <f>Underwriting!B9*1.05</f>
        <v/>
      </c>
      <c r="B9" s="37">
        <f>(Underwriting!B40-((($A9*Underwriting!B44)*(B$5/12)/(1-(1+B$5/12)^(-Underwriting!B46*12)))*12))/($A9*(1-Underwriting!B44)+$A9*Underwriting!B47+Underwriting!B48)</f>
        <v/>
      </c>
      <c r="C9" s="37">
        <f>(Underwriting!B40-((($A9*Underwriting!B44)*(C$5/12)/(1-(1+C$5/12)^(-Underwriting!B46*12)))*12))/($A9*(1-Underwriting!B44)+$A9*Underwriting!B47+Underwriting!B48)</f>
        <v/>
      </c>
      <c r="D9" s="37">
        <f>(Underwriting!B40-((($A9*Underwriting!B44)*(D$5/12)/(1-(1+D$5/12)^(-Underwriting!B46*12)))*12))/($A9*(1-Underwriting!B44)+$A9*Underwriting!B47+Underwriting!B48)</f>
        <v/>
      </c>
      <c r="E9" s="37">
        <f>(Underwriting!B40-((($A9*Underwriting!B44)*(E$5/12)/(1-(1+E$5/12)^(-Underwriting!B46*12)))*12))/($A9*(1-Underwriting!B44)+$A9*Underwriting!B47+Underwriting!B48)</f>
        <v/>
      </c>
      <c r="F9" s="37">
        <f>(Underwriting!B40-((($A9*Underwriting!B44)*(F$5/12)/(1-(1+F$5/12)^(-Underwriting!B46*12)))*12))/($A9*(1-Underwriting!B44)+$A9*Underwriting!B47+Underwriting!B48)</f>
        <v/>
      </c>
    </row>
    <row r="10">
      <c r="A10" s="30">
        <f>Underwriting!B9*1.1</f>
        <v/>
      </c>
      <c r="B10" s="37">
        <f>(Underwriting!B40-((($A10*Underwriting!B44)*(B$5/12)/(1-(1+B$5/12)^(-Underwriting!B46*12)))*12))/($A10*(1-Underwriting!B44)+$A10*Underwriting!B47+Underwriting!B48)</f>
        <v/>
      </c>
      <c r="C10" s="37">
        <f>(Underwriting!B40-((($A10*Underwriting!B44)*(C$5/12)/(1-(1+C$5/12)^(-Underwriting!B46*12)))*12))/($A10*(1-Underwriting!B44)+$A10*Underwriting!B47+Underwriting!B48)</f>
        <v/>
      </c>
      <c r="D10" s="37">
        <f>(Underwriting!B40-((($A10*Underwriting!B44)*(D$5/12)/(1-(1+D$5/12)^(-Underwriting!B46*12)))*12))/($A10*(1-Underwriting!B44)+$A10*Underwriting!B47+Underwriting!B48)</f>
        <v/>
      </c>
      <c r="E10" s="37">
        <f>(Underwriting!B40-((($A10*Underwriting!B44)*(E$5/12)/(1-(1+E$5/12)^(-Underwriting!B46*12)))*12))/($A10*(1-Underwriting!B44)+$A10*Underwriting!B47+Underwriting!B48)</f>
        <v/>
      </c>
      <c r="F10" s="37">
        <f>(Underwriting!B40-((($A10*Underwriting!B44)*(F$5/12)/(1-(1+F$5/12)^(-Underwriting!B46*12)))*12))/($A10*(1-Underwriting!B44)+$A10*Underwriting!B47+Underwriting!B48)</f>
        <v/>
      </c>
    </row>
    <row r="13" ht="20" customHeight="1">
      <c r="A13" s="6" t="inlineStr">
        <is>
          <t>DEBT SERVICE COVERAGE (DSCR)  —  Price x Interest Rate</t>
        </is>
      </c>
    </row>
    <row r="14">
      <c r="A14" s="52" t="inlineStr">
        <is>
          <t>Price \ Rate</t>
        </is>
      </c>
      <c r="B14" s="53">
        <f>Underwriting!B45+-0.01</f>
        <v/>
      </c>
      <c r="C14" s="53">
        <f>Underwriting!B45+-0.005</f>
        <v/>
      </c>
      <c r="D14" s="53">
        <f>Underwriting!B45+0</f>
        <v/>
      </c>
      <c r="E14" s="53">
        <f>Underwriting!B45+0.005</f>
        <v/>
      </c>
      <c r="F14" s="53">
        <f>Underwriting!B45+0.01</f>
        <v/>
      </c>
    </row>
    <row r="15">
      <c r="A15" s="30">
        <f>Underwriting!B9*0.9</f>
        <v/>
      </c>
      <c r="B15" s="54">
        <f>Underwriting!B40/((($A15*Underwriting!B44)*(B$14/12)/(1-(1+B$14/12)^(-Underwriting!B46*12)))*12)</f>
        <v/>
      </c>
      <c r="C15" s="54">
        <f>Underwriting!B40/((($A15*Underwriting!B44)*(C$14/12)/(1-(1+C$14/12)^(-Underwriting!B46*12)))*12)</f>
        <v/>
      </c>
      <c r="D15" s="54">
        <f>Underwriting!B40/((($A15*Underwriting!B44)*(D$14/12)/(1-(1+D$14/12)^(-Underwriting!B46*12)))*12)</f>
        <v/>
      </c>
      <c r="E15" s="54">
        <f>Underwriting!B40/((($A15*Underwriting!B44)*(E$14/12)/(1-(1+E$14/12)^(-Underwriting!B46*12)))*12)</f>
        <v/>
      </c>
      <c r="F15" s="54">
        <f>Underwriting!B40/((($A15*Underwriting!B44)*(F$14/12)/(1-(1+F$14/12)^(-Underwriting!B46*12)))*12)</f>
        <v/>
      </c>
    </row>
    <row r="16">
      <c r="A16" s="30">
        <f>Underwriting!B9*0.95</f>
        <v/>
      </c>
      <c r="B16" s="54">
        <f>Underwriting!B40/((($A16*Underwriting!B44)*(B$14/12)/(1-(1+B$14/12)^(-Underwriting!B46*12)))*12)</f>
        <v/>
      </c>
      <c r="C16" s="54">
        <f>Underwriting!B40/((($A16*Underwriting!B44)*(C$14/12)/(1-(1+C$14/12)^(-Underwriting!B46*12)))*12)</f>
        <v/>
      </c>
      <c r="D16" s="54">
        <f>Underwriting!B40/((($A16*Underwriting!B44)*(D$14/12)/(1-(1+D$14/12)^(-Underwriting!B46*12)))*12)</f>
        <v/>
      </c>
      <c r="E16" s="54">
        <f>Underwriting!B40/((($A16*Underwriting!B44)*(E$14/12)/(1-(1+E$14/12)^(-Underwriting!B46*12)))*12)</f>
        <v/>
      </c>
      <c r="F16" s="54">
        <f>Underwriting!B40/((($A16*Underwriting!B44)*(F$14/12)/(1-(1+F$14/12)^(-Underwriting!B46*12)))*12)</f>
        <v/>
      </c>
    </row>
    <row r="17">
      <c r="A17" s="30">
        <f>Underwriting!B9*1.0</f>
        <v/>
      </c>
      <c r="B17" s="54">
        <f>Underwriting!B40/((($A17*Underwriting!B44)*(B$14/12)/(1-(1+B$14/12)^(-Underwriting!B46*12)))*12)</f>
        <v/>
      </c>
      <c r="C17" s="54">
        <f>Underwriting!B40/((($A17*Underwriting!B44)*(C$14/12)/(1-(1+C$14/12)^(-Underwriting!B46*12)))*12)</f>
        <v/>
      </c>
      <c r="D17" s="54">
        <f>Underwriting!B40/((($A17*Underwriting!B44)*(D$14/12)/(1-(1+D$14/12)^(-Underwriting!B46*12)))*12)</f>
        <v/>
      </c>
      <c r="E17" s="54">
        <f>Underwriting!B40/((($A17*Underwriting!B44)*(E$14/12)/(1-(1+E$14/12)^(-Underwriting!B46*12)))*12)</f>
        <v/>
      </c>
      <c r="F17" s="54">
        <f>Underwriting!B40/((($A17*Underwriting!B44)*(F$14/12)/(1-(1+F$14/12)^(-Underwriting!B46*12)))*12)</f>
        <v/>
      </c>
    </row>
    <row r="18">
      <c r="A18" s="30">
        <f>Underwriting!B9*1.05</f>
        <v/>
      </c>
      <c r="B18" s="54">
        <f>Underwriting!B40/((($A18*Underwriting!B44)*(B$14/12)/(1-(1+B$14/12)^(-Underwriting!B46*12)))*12)</f>
        <v/>
      </c>
      <c r="C18" s="54">
        <f>Underwriting!B40/((($A18*Underwriting!B44)*(C$14/12)/(1-(1+C$14/12)^(-Underwriting!B46*12)))*12)</f>
        <v/>
      </c>
      <c r="D18" s="54">
        <f>Underwriting!B40/((($A18*Underwriting!B44)*(D$14/12)/(1-(1+D$14/12)^(-Underwriting!B46*12)))*12)</f>
        <v/>
      </c>
      <c r="E18" s="54">
        <f>Underwriting!B40/((($A18*Underwriting!B44)*(E$14/12)/(1-(1+E$14/12)^(-Underwriting!B46*12)))*12)</f>
        <v/>
      </c>
      <c r="F18" s="54">
        <f>Underwriting!B40/((($A18*Underwriting!B44)*(F$14/12)/(1-(1+F$14/12)^(-Underwriting!B46*12)))*12)</f>
        <v/>
      </c>
    </row>
    <row r="19">
      <c r="A19" s="30">
        <f>Underwriting!B9*1.1</f>
        <v/>
      </c>
      <c r="B19" s="54">
        <f>Underwriting!B40/((($A19*Underwriting!B44)*(B$14/12)/(1-(1+B$14/12)^(-Underwriting!B46*12)))*12)</f>
        <v/>
      </c>
      <c r="C19" s="54">
        <f>Underwriting!B40/((($A19*Underwriting!B44)*(C$14/12)/(1-(1+C$14/12)^(-Underwriting!B46*12)))*12)</f>
        <v/>
      </c>
      <c r="D19" s="54">
        <f>Underwriting!B40/((($A19*Underwriting!B44)*(D$14/12)/(1-(1+D$14/12)^(-Underwriting!B46*12)))*12)</f>
        <v/>
      </c>
      <c r="E19" s="54">
        <f>Underwriting!B40/((($A19*Underwriting!B44)*(E$14/12)/(1-(1+E$14/12)^(-Underwriting!B46*12)))*12)</f>
        <v/>
      </c>
      <c r="F19" s="54">
        <f>Underwriting!B40/((($A19*Underwriting!B44)*(F$14/12)/(1-(1+F$14/12)^(-Underwriting!B46*12)))*12)</f>
        <v/>
      </c>
    </row>
    <row r="21">
      <c r="A21" s="15" t="inlineStr">
        <is>
          <t>NOTE: the two tables above hold NOI constant to isolate price &amp; financing risk.</t>
        </is>
      </c>
    </row>
    <row r="23" ht="20" customHeight="1">
      <c r="A23" s="6" t="inlineStr">
        <is>
          <t>CASH-ON-CASH RETURN  —  Monthly Rent x Vacancy</t>
        </is>
      </c>
    </row>
    <row r="24">
      <c r="A24" s="52" t="inlineStr">
        <is>
          <t>Rent \ Vacancy</t>
        </is>
      </c>
      <c r="B24" s="55" t="n">
        <v>0.05</v>
      </c>
      <c r="C24" s="55" t="n">
        <v>0.1</v>
      </c>
      <c r="D24" s="55" t="n">
        <v>0.15</v>
      </c>
      <c r="E24" s="55" t="n">
        <v>0.2</v>
      </c>
      <c r="F24" s="55" t="n">
        <v>0.25</v>
      </c>
    </row>
    <row r="25">
      <c r="A25" s="30">
        <f>Underwriting!B11+-100</f>
        <v/>
      </c>
      <c r="B25" s="37">
        <f>(((Underwriting!B8*$A25*12*(1-B$24)+Underwriting!B23)-((Underwriting!B35-Underwriting!B33)+Underwriting!B14*(Underwriting!B8*$A25*12*(1-B$24)+Underwriting!B23)))-Underwriting!B59)/Underwriting!B57</f>
        <v/>
      </c>
      <c r="C25" s="37">
        <f>(((Underwriting!B8*$A25*12*(1-C$24)+Underwriting!B23)-((Underwriting!B35-Underwriting!B33)+Underwriting!B14*(Underwriting!B8*$A25*12*(1-C$24)+Underwriting!B23)))-Underwriting!B59)/Underwriting!B57</f>
        <v/>
      </c>
      <c r="D25" s="37">
        <f>(((Underwriting!B8*$A25*12*(1-D$24)+Underwriting!B23)-((Underwriting!B35-Underwriting!B33)+Underwriting!B14*(Underwriting!B8*$A25*12*(1-D$24)+Underwriting!B23)))-Underwriting!B59)/Underwriting!B57</f>
        <v/>
      </c>
      <c r="E25" s="37">
        <f>(((Underwriting!B8*$A25*12*(1-E$24)+Underwriting!B23)-((Underwriting!B35-Underwriting!B33)+Underwriting!B14*(Underwriting!B8*$A25*12*(1-E$24)+Underwriting!B23)))-Underwriting!B59)/Underwriting!B57</f>
        <v/>
      </c>
      <c r="F25" s="37">
        <f>(((Underwriting!B8*$A25*12*(1-F$24)+Underwriting!B23)-((Underwriting!B35-Underwriting!B33)+Underwriting!B14*(Underwriting!B8*$A25*12*(1-F$24)+Underwriting!B23)))-Underwriting!B59)/Underwriting!B57</f>
        <v/>
      </c>
    </row>
    <row r="26">
      <c r="A26" s="30">
        <f>Underwriting!B11+-50</f>
        <v/>
      </c>
      <c r="B26" s="37">
        <f>(((Underwriting!B8*$A26*12*(1-B$24)+Underwriting!B23)-((Underwriting!B35-Underwriting!B33)+Underwriting!B14*(Underwriting!B8*$A26*12*(1-B$24)+Underwriting!B23)))-Underwriting!B59)/Underwriting!B57</f>
        <v/>
      </c>
      <c r="C26" s="37">
        <f>(((Underwriting!B8*$A26*12*(1-C$24)+Underwriting!B23)-((Underwriting!B35-Underwriting!B33)+Underwriting!B14*(Underwriting!B8*$A26*12*(1-C$24)+Underwriting!B23)))-Underwriting!B59)/Underwriting!B57</f>
        <v/>
      </c>
      <c r="D26" s="37">
        <f>(((Underwriting!B8*$A26*12*(1-D$24)+Underwriting!B23)-((Underwriting!B35-Underwriting!B33)+Underwriting!B14*(Underwriting!B8*$A26*12*(1-D$24)+Underwriting!B23)))-Underwriting!B59)/Underwriting!B57</f>
        <v/>
      </c>
      <c r="E26" s="37">
        <f>(((Underwriting!B8*$A26*12*(1-E$24)+Underwriting!B23)-((Underwriting!B35-Underwriting!B33)+Underwriting!B14*(Underwriting!B8*$A26*12*(1-E$24)+Underwriting!B23)))-Underwriting!B59)/Underwriting!B57</f>
        <v/>
      </c>
      <c r="F26" s="37">
        <f>(((Underwriting!B8*$A26*12*(1-F$24)+Underwriting!B23)-((Underwriting!B35-Underwriting!B33)+Underwriting!B14*(Underwriting!B8*$A26*12*(1-F$24)+Underwriting!B23)))-Underwriting!B59)/Underwriting!B57</f>
        <v/>
      </c>
    </row>
    <row r="27">
      <c r="A27" s="30">
        <f>Underwriting!B11+0</f>
        <v/>
      </c>
      <c r="B27" s="37">
        <f>(((Underwriting!B8*$A27*12*(1-B$24)+Underwriting!B23)-((Underwriting!B35-Underwriting!B33)+Underwriting!B14*(Underwriting!B8*$A27*12*(1-B$24)+Underwriting!B23)))-Underwriting!B59)/Underwriting!B57</f>
        <v/>
      </c>
      <c r="C27" s="37">
        <f>(((Underwriting!B8*$A27*12*(1-C$24)+Underwriting!B23)-((Underwriting!B35-Underwriting!B33)+Underwriting!B14*(Underwriting!B8*$A27*12*(1-C$24)+Underwriting!B23)))-Underwriting!B59)/Underwriting!B57</f>
        <v/>
      </c>
      <c r="D27" s="37">
        <f>(((Underwriting!B8*$A27*12*(1-D$24)+Underwriting!B23)-((Underwriting!B35-Underwriting!B33)+Underwriting!B14*(Underwriting!B8*$A27*12*(1-D$24)+Underwriting!B23)))-Underwriting!B59)/Underwriting!B57</f>
        <v/>
      </c>
      <c r="E27" s="37">
        <f>(((Underwriting!B8*$A27*12*(1-E$24)+Underwriting!B23)-((Underwriting!B35-Underwriting!B33)+Underwriting!B14*(Underwriting!B8*$A27*12*(1-E$24)+Underwriting!B23)))-Underwriting!B59)/Underwriting!B57</f>
        <v/>
      </c>
      <c r="F27" s="37">
        <f>(((Underwriting!B8*$A27*12*(1-F$24)+Underwriting!B23)-((Underwriting!B35-Underwriting!B33)+Underwriting!B14*(Underwriting!B8*$A27*12*(1-F$24)+Underwriting!B23)))-Underwriting!B59)/Underwriting!B57</f>
        <v/>
      </c>
    </row>
    <row r="28">
      <c r="A28" s="30">
        <f>Underwriting!B11+50</f>
        <v/>
      </c>
      <c r="B28" s="37">
        <f>(((Underwriting!B8*$A28*12*(1-B$24)+Underwriting!B23)-((Underwriting!B35-Underwriting!B33)+Underwriting!B14*(Underwriting!B8*$A28*12*(1-B$24)+Underwriting!B23)))-Underwriting!B59)/Underwriting!B57</f>
        <v/>
      </c>
      <c r="C28" s="37">
        <f>(((Underwriting!B8*$A28*12*(1-C$24)+Underwriting!B23)-((Underwriting!B35-Underwriting!B33)+Underwriting!B14*(Underwriting!B8*$A28*12*(1-C$24)+Underwriting!B23)))-Underwriting!B59)/Underwriting!B57</f>
        <v/>
      </c>
      <c r="D28" s="37">
        <f>(((Underwriting!B8*$A28*12*(1-D$24)+Underwriting!B23)-((Underwriting!B35-Underwriting!B33)+Underwriting!B14*(Underwriting!B8*$A28*12*(1-D$24)+Underwriting!B23)))-Underwriting!B59)/Underwriting!B57</f>
        <v/>
      </c>
      <c r="E28" s="37">
        <f>(((Underwriting!B8*$A28*12*(1-E$24)+Underwriting!B23)-((Underwriting!B35-Underwriting!B33)+Underwriting!B14*(Underwriting!B8*$A28*12*(1-E$24)+Underwriting!B23)))-Underwriting!B59)/Underwriting!B57</f>
        <v/>
      </c>
      <c r="F28" s="37">
        <f>(((Underwriting!B8*$A28*12*(1-F$24)+Underwriting!B23)-((Underwriting!B35-Underwriting!B33)+Underwriting!B14*(Underwriting!B8*$A28*12*(1-F$24)+Underwriting!B23)))-Underwriting!B59)/Underwriting!B57</f>
        <v/>
      </c>
    </row>
    <row r="29">
      <c r="A29" s="30">
        <f>Underwriting!B11+100</f>
        <v/>
      </c>
      <c r="B29" s="37">
        <f>(((Underwriting!B8*$A29*12*(1-B$24)+Underwriting!B23)-((Underwriting!B35-Underwriting!B33)+Underwriting!B14*(Underwriting!B8*$A29*12*(1-B$24)+Underwriting!B23)))-Underwriting!B59)/Underwriting!B57</f>
        <v/>
      </c>
      <c r="C29" s="37">
        <f>(((Underwriting!B8*$A29*12*(1-C$24)+Underwriting!B23)-((Underwriting!B35-Underwriting!B33)+Underwriting!B14*(Underwriting!B8*$A29*12*(1-C$24)+Underwriting!B23)))-Underwriting!B59)/Underwriting!B57</f>
        <v/>
      </c>
      <c r="D29" s="37">
        <f>(((Underwriting!B8*$A29*12*(1-D$24)+Underwriting!B23)-((Underwriting!B35-Underwriting!B33)+Underwriting!B14*(Underwriting!B8*$A29*12*(1-D$24)+Underwriting!B23)))-Underwriting!B59)/Underwriting!B57</f>
        <v/>
      </c>
      <c r="E29" s="37">
        <f>(((Underwriting!B8*$A29*12*(1-E$24)+Underwriting!B23)-((Underwriting!B35-Underwriting!B33)+Underwriting!B14*(Underwriting!B8*$A29*12*(1-E$24)+Underwriting!B23)))-Underwriting!B59)/Underwriting!B57</f>
        <v/>
      </c>
      <c r="F29" s="37">
        <f>(((Underwriting!B8*$A29*12*(1-F$24)+Underwriting!B23)-((Underwriting!B35-Underwriting!B33)+Underwriting!B14*(Underwriting!B8*$A29*12*(1-F$24)+Underwriting!B23)))-Underwriting!B59)/Underwriting!B57</f>
        <v/>
      </c>
    </row>
    <row r="31">
      <c r="A31" s="15" t="inlineStr">
        <is>
          <t>NOTE: this table recomputes NOI (management fee scales with EGI). Uses sites x rent income, not the Income Detail build.</t>
        </is>
      </c>
    </row>
  </sheetData>
  <mergeCells count="4">
    <mergeCell ref="A13:F13"/>
    <mergeCell ref="A1:F1"/>
    <mergeCell ref="A23:F23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34" customWidth="1" min="3" max="3"/>
  </cols>
  <sheetData>
    <row r="1" ht="26" customHeight="1">
      <c r="A1" s="4" t="inlineStr">
        <is>
          <t>LOAN SIZING — MAX PRICE AT TARGET DSCR</t>
        </is>
      </c>
    </row>
    <row r="2">
      <c r="A2" s="15" t="inlineStr">
        <is>
          <t>Works backward from how much debt the NOI supports. NOI is held at the Underwriting Year-1 figure; rate, amortization and LTV come from the Underwriting tab.</t>
        </is>
      </c>
    </row>
    <row r="4" ht="20" customHeight="1">
      <c r="A4" s="6" t="inlineStr">
        <is>
          <t>TARGETS  (your / the lender's limits)</t>
        </is>
      </c>
    </row>
    <row r="5">
      <c r="A5" s="17" t="inlineStr">
        <is>
          <t>Target DSCR</t>
        </is>
      </c>
      <c r="B5" s="19" t="n">
        <v>1.25</v>
      </c>
      <c r="C5" s="15" t="inlineStr">
        <is>
          <t>minimum coverage lender requires</t>
        </is>
      </c>
    </row>
    <row r="6">
      <c r="A6" s="17" t="inlineStr">
        <is>
          <t>Target Debt Yield</t>
        </is>
      </c>
      <c r="B6" s="21" t="n">
        <v>0.1</v>
      </c>
      <c r="C6" s="15" t="inlineStr">
        <is>
          <t>NOI / loan floor (often 9-10%)</t>
        </is>
      </c>
    </row>
    <row r="7">
      <c r="A7" s="17" t="inlineStr">
        <is>
          <t>Max LTV %</t>
        </is>
      </c>
      <c r="B7" s="21" t="n">
        <v>0.75</v>
      </c>
      <c r="C7" s="15" t="inlineStr">
        <is>
          <t>lender's loan-to-value cap</t>
        </is>
      </c>
    </row>
    <row r="9" ht="20" customHeight="1">
      <c r="A9" s="6" t="inlineStr">
        <is>
          <t>LOAN INPUTS  (from Underwriting)</t>
        </is>
      </c>
    </row>
    <row r="10">
      <c r="A10" s="17" t="inlineStr">
        <is>
          <t>Year-1 NOI</t>
        </is>
      </c>
      <c r="B10" s="28">
        <f>Underwriting!B40</f>
        <v/>
      </c>
    </row>
    <row r="11">
      <c r="A11" s="17" t="inlineStr">
        <is>
          <t>Interest Rate</t>
        </is>
      </c>
      <c r="B11" s="45">
        <f>Underwriting!B45</f>
        <v/>
      </c>
    </row>
    <row r="12">
      <c r="A12" s="17" t="inlineStr">
        <is>
          <t>Amortization (yrs)</t>
        </is>
      </c>
      <c r="B12" s="49">
        <f>Underwriting!B46</f>
        <v/>
      </c>
    </row>
    <row r="13">
      <c r="A13" s="17" t="inlineStr">
        <is>
          <t>Annual Debt Constant (per $1 loan)</t>
        </is>
      </c>
      <c r="B13" s="41">
        <f>PMT(B11/12,B12*12,-1)*12</f>
        <v/>
      </c>
      <c r="C13" s="15" t="inlineStr">
        <is>
          <t>annual debt service per $1 borrowed</t>
        </is>
      </c>
    </row>
    <row r="15" ht="20" customHeight="1">
      <c r="A15" s="6" t="inlineStr">
        <is>
          <t>MAXIMUM SUPPORTABLE LOAN</t>
        </is>
      </c>
    </row>
    <row r="16">
      <c r="A16" s="17" t="inlineStr">
        <is>
          <t>Max Annual Debt Service (DSCR)</t>
        </is>
      </c>
      <c r="B16" s="28">
        <f>B10/B5</f>
        <v/>
      </c>
      <c r="C16" s="15" t="inlineStr">
        <is>
          <t>NOI / target DSCR</t>
        </is>
      </c>
    </row>
    <row r="17">
      <c r="A17" s="17" t="inlineStr">
        <is>
          <t>Max Loan — DSCR constrained</t>
        </is>
      </c>
      <c r="B17" s="28">
        <f>B16/B13</f>
        <v/>
      </c>
    </row>
    <row r="18">
      <c r="A18" s="17" t="inlineStr">
        <is>
          <t>Max Loan — Debt-Yield constrained</t>
        </is>
      </c>
      <c r="B18" s="28">
        <f>B10/B6</f>
        <v/>
      </c>
    </row>
    <row r="19">
      <c r="A19" s="7" t="inlineStr">
        <is>
          <t>Binding Max Loan</t>
        </is>
      </c>
      <c r="B19" s="30">
        <f>MIN(B17,B18)</f>
        <v/>
      </c>
      <c r="C19" s="15" t="inlineStr">
        <is>
          <t>the lesser of the two</t>
        </is>
      </c>
    </row>
    <row r="21" ht="20" customHeight="1">
      <c r="A21" s="6" t="inlineStr">
        <is>
          <t>MAXIMUM PURCHASE PRICE</t>
        </is>
      </c>
    </row>
    <row r="22">
      <c r="A22" s="7" t="inlineStr">
        <is>
          <t>Max Price — DSCR/Debt-Yield (at Max LTV)</t>
        </is>
      </c>
      <c r="B22" s="32">
        <f>B19/B7</f>
        <v/>
      </c>
      <c r="C22" s="15" t="inlineStr">
        <is>
          <t>price the debt supports at your LTV</t>
        </is>
      </c>
    </row>
    <row r="23">
      <c r="A23" s="17" t="inlineStr">
        <is>
          <t>Current Purchase Price</t>
        </is>
      </c>
      <c r="B23" s="28">
        <f>Underwriting!B9</f>
        <v/>
      </c>
    </row>
    <row r="24">
      <c r="A24" s="7" t="inlineStr">
        <is>
          <t>Price Headroom ($)</t>
        </is>
      </c>
      <c r="B24" s="9">
        <f>B22-B23</f>
        <v/>
      </c>
      <c r="C24" s="15" t="inlineStr">
        <is>
          <t>positive = room to pay more; negative = overpaying</t>
        </is>
      </c>
    </row>
    <row r="25">
      <c r="A25" s="7" t="inlineStr">
        <is>
          <t>Price Headroom (%)</t>
        </is>
      </c>
      <c r="B25" s="14">
        <f>B24/B23</f>
        <v/>
      </c>
    </row>
    <row r="26">
      <c r="A26" s="17" t="inlineStr">
        <is>
          <t>DSCR at Current Price</t>
        </is>
      </c>
      <c r="B26" s="35">
        <f>Underwriting!B65</f>
        <v/>
      </c>
      <c r="C26" s="15" t="inlineStr">
        <is>
          <t>for reference (target above)</t>
        </is>
      </c>
    </row>
    <row r="27">
      <c r="A27" s="17" t="inlineStr">
        <is>
          <t>Required Equity at Max Price</t>
        </is>
      </c>
      <c r="B27" s="28">
        <f>B22*(1-B7)</f>
        <v/>
      </c>
      <c r="C27" s="15" t="inlineStr">
        <is>
          <t>down payment if you buy at the max</t>
        </is>
      </c>
    </row>
    <row r="29">
      <c r="A29" s="15" t="inlineStr">
        <is>
          <t>READ: if Headroom is negative, the price is higher than the income can safely finance at your target DSCR — you'd need more equity, a lower rate, or a price cut.</t>
        </is>
      </c>
    </row>
  </sheetData>
  <mergeCells count="5">
    <mergeCell ref="A1:C1"/>
    <mergeCell ref="A9:C9"/>
    <mergeCell ref="A21:C21"/>
    <mergeCell ref="A15:C15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2026-07-06T19:29:37Z</dcterms:created>
  <dcterms:modified xmlns:dcterms="http://purl.org/dc/terms/" xmlns:xsi="http://www.w3.org/2001/XMLSchema-instance" xsi:type="dcterms:W3CDTF">2026-07-06T19:29:37Z</dcterms:modified>
</cp:coreProperties>
</file>